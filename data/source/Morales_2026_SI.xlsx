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ibby\Downloads\Publicacion\"/>
    </mc:Choice>
  </mc:AlternateContent>
  <xr:revisionPtr revIDLastSave="0" documentId="8_{B560B396-C596-4058-AFD0-48E3F94849A3}" xr6:coauthVersionLast="47" xr6:coauthVersionMax="47" xr10:uidLastSave="{00000000-0000-0000-0000-000000000000}"/>
  <bookViews>
    <workbookView xWindow="-110" yWindow="-110" windowWidth="25820" windowHeight="15500" xr2:uid="{B840E4A3-1C2B-45FE-9990-739AE3AE0B1C}"/>
  </bookViews>
  <sheets>
    <sheet name="Liquid phase conc." sheetId="36" r:id="rId1"/>
    <sheet name="Soil conc." sheetId="34" r:id="rId2"/>
    <sheet name="Kd" sheetId="7" r:id="rId3"/>
    <sheet name="Spatial distribution samples" sheetId="37" r:id="rId4"/>
  </sheets>
  <definedNames>
    <definedName name="_xlnm._FilterDatabase" localSheetId="2" hidden="1">Kd!$A$5:$BL$94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I105" i="7" l="1"/>
  <c r="BI104" i="7"/>
  <c r="BE105" i="7"/>
  <c r="BE104" i="7"/>
  <c r="BA105" i="7"/>
  <c r="BA104" i="7"/>
  <c r="AW105" i="7"/>
  <c r="AW104" i="7"/>
  <c r="AS105" i="7"/>
  <c r="AS104" i="7"/>
  <c r="AO105" i="7"/>
  <c r="AO104" i="7"/>
  <c r="AK105" i="7"/>
  <c r="AK104" i="7"/>
  <c r="AG104" i="7"/>
  <c r="AG105" i="7"/>
  <c r="AC105" i="7"/>
  <c r="AC104" i="7"/>
  <c r="Y105" i="7"/>
  <c r="Y104" i="7"/>
  <c r="U105" i="7"/>
  <c r="U104" i="7"/>
  <c r="Q105" i="7"/>
  <c r="Q104" i="7"/>
  <c r="M105" i="7"/>
  <c r="M104" i="7"/>
  <c r="I105" i="7"/>
  <c r="I104" i="7"/>
  <c r="AW75" i="7"/>
  <c r="AW76" i="7"/>
  <c r="BH76" i="7" l="1"/>
  <c r="BI76" i="7" s="1"/>
  <c r="BD76" i="7"/>
  <c r="BE76" i="7" s="1"/>
  <c r="AZ76" i="7"/>
  <c r="BA76" i="7" s="1"/>
  <c r="AN76" i="7"/>
  <c r="AO76" i="7" s="1"/>
  <c r="AB76" i="7"/>
  <c r="AC76" i="7" s="1"/>
  <c r="X76" i="7"/>
  <c r="Y76" i="7" s="1"/>
  <c r="P76" i="7"/>
  <c r="Q76" i="7" s="1"/>
  <c r="C96" i="36" l="1"/>
  <c r="C95" i="36"/>
  <c r="C94" i="36"/>
  <c r="C93" i="36"/>
  <c r="C92" i="36"/>
  <c r="C91" i="36"/>
  <c r="C90" i="36"/>
  <c r="C89" i="36"/>
  <c r="C88" i="36"/>
  <c r="C87" i="36"/>
  <c r="C86" i="36"/>
  <c r="C85" i="36"/>
  <c r="C84" i="36"/>
  <c r="C83" i="36"/>
  <c r="C82" i="36"/>
  <c r="C81" i="36"/>
  <c r="C80" i="36"/>
  <c r="C79" i="36"/>
  <c r="C78" i="36"/>
  <c r="C77" i="36"/>
  <c r="C76" i="36"/>
  <c r="C75" i="36"/>
  <c r="C74" i="36"/>
  <c r="C73" i="36"/>
  <c r="C72" i="36"/>
  <c r="C71" i="36"/>
  <c r="C70" i="36"/>
  <c r="C69" i="36"/>
  <c r="C68" i="36"/>
  <c r="C67" i="36"/>
  <c r="C66" i="36"/>
  <c r="C65" i="36"/>
  <c r="C64" i="36"/>
  <c r="C63" i="36"/>
  <c r="C62" i="36"/>
  <c r="C61" i="36"/>
  <c r="C60" i="36"/>
  <c r="C59" i="36"/>
  <c r="C58" i="36"/>
  <c r="C57" i="36"/>
  <c r="C56" i="36"/>
  <c r="C55" i="36"/>
  <c r="C54" i="36"/>
  <c r="C53" i="36"/>
  <c r="C52" i="36"/>
  <c r="C51" i="36"/>
  <c r="C50" i="36"/>
  <c r="C49" i="36"/>
  <c r="C48" i="36"/>
  <c r="C47" i="36"/>
  <c r="C46" i="36"/>
  <c r="C45" i="36"/>
  <c r="C44" i="36"/>
  <c r="C43" i="36"/>
  <c r="C42" i="36"/>
  <c r="C41" i="36"/>
  <c r="C40" i="36"/>
  <c r="C39" i="36"/>
  <c r="C38" i="36"/>
  <c r="C37" i="36"/>
  <c r="C36" i="36"/>
  <c r="C35" i="36"/>
  <c r="C34" i="36"/>
  <c r="C33" i="36"/>
  <c r="C32" i="36"/>
  <c r="C31" i="36"/>
  <c r="C30" i="36"/>
  <c r="C29" i="36"/>
  <c r="C28" i="36"/>
  <c r="C27" i="36"/>
  <c r="C26" i="36"/>
  <c r="C25" i="36"/>
  <c r="C24" i="36"/>
  <c r="C23" i="36"/>
  <c r="C22" i="36"/>
  <c r="C21" i="36"/>
  <c r="C20" i="36"/>
  <c r="C19" i="36"/>
  <c r="C18" i="36"/>
  <c r="C17" i="36"/>
  <c r="C16" i="36"/>
  <c r="C15" i="36"/>
  <c r="C14" i="36"/>
  <c r="C13" i="36"/>
  <c r="C12" i="36"/>
  <c r="C11" i="36"/>
  <c r="C10" i="36"/>
  <c r="C9" i="36"/>
  <c r="C8" i="36"/>
  <c r="C7" i="36"/>
  <c r="C6" i="36"/>
  <c r="C5" i="36"/>
  <c r="Y102" i="36"/>
  <c r="X102" i="36"/>
  <c r="W102" i="36"/>
  <c r="V102" i="36"/>
  <c r="U102" i="36"/>
  <c r="T102" i="36"/>
  <c r="S102" i="36"/>
  <c r="R102" i="36"/>
  <c r="Q102" i="36"/>
  <c r="P102" i="36"/>
  <c r="O102" i="36"/>
  <c r="N102" i="36"/>
  <c r="M102" i="36"/>
  <c r="L102" i="36"/>
  <c r="K102" i="36"/>
  <c r="J102" i="36"/>
  <c r="I102" i="36"/>
  <c r="H102" i="36"/>
  <c r="G102" i="36"/>
  <c r="F102" i="36"/>
  <c r="E102" i="36"/>
  <c r="D102" i="36"/>
  <c r="C100" i="36" l="1"/>
  <c r="C97" i="36"/>
  <c r="C98" i="36"/>
  <c r="C99" i="36"/>
  <c r="BD89" i="7" l="1"/>
  <c r="BE89" i="7" s="1"/>
  <c r="AV89" i="7"/>
  <c r="AW89" i="7" s="1"/>
  <c r="AR89" i="7"/>
  <c r="AS89" i="7" s="1"/>
  <c r="AN89" i="7"/>
  <c r="AO89" i="7" s="1"/>
  <c r="AB89" i="7"/>
  <c r="AC89" i="7" s="1"/>
  <c r="X89" i="7"/>
  <c r="Y89" i="7" s="1"/>
  <c r="T89" i="7"/>
  <c r="U89" i="7" s="1"/>
  <c r="P89" i="7"/>
  <c r="Q89" i="7" s="1"/>
  <c r="AV88" i="7"/>
  <c r="AW88" i="7" s="1"/>
  <c r="AR88" i="7"/>
  <c r="AS88" i="7" s="1"/>
  <c r="AB88" i="7"/>
  <c r="AC88" i="7" s="1"/>
  <c r="X88" i="7"/>
  <c r="Y88" i="7" s="1"/>
  <c r="H88" i="7"/>
  <c r="I88" i="7" s="1"/>
  <c r="BH87" i="7"/>
  <c r="BI87" i="7" s="1"/>
  <c r="AN87" i="7"/>
  <c r="AO87" i="7" s="1"/>
  <c r="L87" i="7"/>
  <c r="M87" i="7" s="1"/>
  <c r="BH86" i="7"/>
  <c r="BI86" i="7" s="1"/>
  <c r="AV86" i="7"/>
  <c r="AW86" i="7" s="1"/>
  <c r="AR86" i="7"/>
  <c r="AS86" i="7" s="1"/>
  <c r="AB86" i="7"/>
  <c r="AC86" i="7" s="1"/>
  <c r="X86" i="7"/>
  <c r="Y86" i="7" s="1"/>
  <c r="P86" i="7"/>
  <c r="Q86" i="7" s="1"/>
  <c r="BH85" i="7"/>
  <c r="BI85" i="7" s="1"/>
  <c r="AV85" i="7"/>
  <c r="AW85" i="7" s="1"/>
  <c r="AR85" i="7"/>
  <c r="AS85" i="7" s="1"/>
  <c r="AF85" i="7"/>
  <c r="AG85" i="7" s="1"/>
  <c r="AB85" i="7"/>
  <c r="AC85" i="7" s="1"/>
  <c r="X85" i="7"/>
  <c r="Y85" i="7" s="1"/>
  <c r="T85" i="7"/>
  <c r="U85" i="7" s="1"/>
  <c r="P85" i="7"/>
  <c r="Q85" i="7" s="1"/>
  <c r="H85" i="7"/>
  <c r="I85" i="7" s="1"/>
  <c r="BH84" i="7"/>
  <c r="BI84" i="7" s="1"/>
  <c r="AV84" i="7"/>
  <c r="AW84" i="7" s="1"/>
  <c r="AR84" i="7"/>
  <c r="AS84" i="7" s="1"/>
  <c r="AB84" i="7"/>
  <c r="AC84" i="7" s="1"/>
  <c r="X84" i="7"/>
  <c r="Y84" i="7" s="1"/>
  <c r="T84" i="7"/>
  <c r="U84" i="7" s="1"/>
  <c r="P84" i="7"/>
  <c r="Q84" i="7" s="1"/>
  <c r="H84" i="7"/>
  <c r="I84" i="7" s="1"/>
  <c r="BH83" i="7"/>
  <c r="BI83" i="7" s="1"/>
  <c r="AV83" i="7"/>
  <c r="AW83" i="7" s="1"/>
  <c r="AR83" i="7"/>
  <c r="AS83" i="7" s="1"/>
  <c r="AN83" i="7"/>
  <c r="AO83" i="7" s="1"/>
  <c r="AB83" i="7"/>
  <c r="AC83" i="7" s="1"/>
  <c r="X83" i="7"/>
  <c r="Y83" i="7" s="1"/>
  <c r="P83" i="7"/>
  <c r="Q83" i="7" s="1"/>
  <c r="BH82" i="7"/>
  <c r="BI82" i="7" s="1"/>
  <c r="AV82" i="7"/>
  <c r="AW82" i="7" s="1"/>
  <c r="AR82" i="7"/>
  <c r="AS82" i="7" s="1"/>
  <c r="AB82" i="7"/>
  <c r="AC82" i="7" s="1"/>
  <c r="X82" i="7"/>
  <c r="Y82" i="7" s="1"/>
  <c r="P82" i="7"/>
  <c r="Q82" i="7" s="1"/>
  <c r="BH81" i="7"/>
  <c r="BI81" i="7" s="1"/>
  <c r="AV81" i="7"/>
  <c r="AW81" i="7" s="1"/>
  <c r="AB81" i="7"/>
  <c r="AC81" i="7" s="1"/>
  <c r="X81" i="7"/>
  <c r="Y81" i="7" s="1"/>
  <c r="P81" i="7"/>
  <c r="Q81" i="7" s="1"/>
  <c r="AV80" i="7"/>
  <c r="AW80" i="7" s="1"/>
  <c r="AR80" i="7"/>
  <c r="AS80" i="7" s="1"/>
  <c r="AN80" i="7"/>
  <c r="AO80" i="7" s="1"/>
  <c r="AB80" i="7"/>
  <c r="AC80" i="7" s="1"/>
  <c r="X80" i="7"/>
  <c r="Y80" i="7" s="1"/>
  <c r="P80" i="7"/>
  <c r="Q80" i="7" s="1"/>
  <c r="BH79" i="7"/>
  <c r="BI79" i="7" s="1"/>
  <c r="AZ79" i="7"/>
  <c r="BA79" i="7" s="1"/>
  <c r="AV79" i="7"/>
  <c r="AW79" i="7" s="1"/>
  <c r="AR79" i="7"/>
  <c r="AS79" i="7" s="1"/>
  <c r="AB79" i="7"/>
  <c r="AC79" i="7" s="1"/>
  <c r="X79" i="7"/>
  <c r="Y79" i="7" s="1"/>
  <c r="P79" i="7"/>
  <c r="Q79" i="7" s="1"/>
  <c r="BH78" i="7"/>
  <c r="BI78" i="7" s="1"/>
  <c r="AR78" i="7"/>
  <c r="AS78" i="7" s="1"/>
  <c r="AN78" i="7"/>
  <c r="AO78" i="7" s="1"/>
  <c r="L78" i="7"/>
  <c r="M78" i="7" s="1"/>
  <c r="BH77" i="7"/>
  <c r="BI77" i="7" s="1"/>
  <c r="BD77" i="7"/>
  <c r="BE77" i="7" s="1"/>
  <c r="AV77" i="7"/>
  <c r="AW77" i="7" s="1"/>
  <c r="AB77" i="7"/>
  <c r="AC77" i="7" s="1"/>
  <c r="X77" i="7"/>
  <c r="Y77" i="7" s="1"/>
  <c r="P77" i="7"/>
  <c r="Q77" i="7" s="1"/>
  <c r="AR93" i="7"/>
  <c r="AS93" i="7" s="1"/>
  <c r="P93" i="7"/>
  <c r="Q93" i="7" s="1"/>
  <c r="H93" i="7"/>
  <c r="I93" i="7" s="1"/>
  <c r="AV92" i="7"/>
  <c r="AW92" i="7" s="1"/>
  <c r="AF92" i="7"/>
  <c r="AG92" i="7" s="1"/>
  <c r="P92" i="7"/>
  <c r="Q92" i="7" s="1"/>
  <c r="H92" i="7"/>
  <c r="I92" i="7" s="1"/>
  <c r="BH75" i="7"/>
  <c r="BI75" i="7" s="1"/>
  <c r="BD75" i="7"/>
  <c r="BE75" i="7" s="1"/>
  <c r="AR75" i="7"/>
  <c r="AS75" i="7" s="1"/>
  <c r="T75" i="7"/>
  <c r="U75" i="7" s="1"/>
  <c r="P75" i="7"/>
  <c r="Q75" i="7" s="1"/>
  <c r="AV91" i="7"/>
  <c r="AW91" i="7" s="1"/>
  <c r="AR91" i="7"/>
  <c r="AS91" i="7" s="1"/>
  <c r="AB91" i="7"/>
  <c r="AC91" i="7" s="1"/>
  <c r="P91" i="7"/>
  <c r="Q91" i="7" s="1"/>
  <c r="BH74" i="7"/>
  <c r="BI74" i="7" s="1"/>
  <c r="BD74" i="7"/>
  <c r="BE74" i="7" s="1"/>
  <c r="AZ74" i="7"/>
  <c r="BA74" i="7" s="1"/>
  <c r="AV74" i="7"/>
  <c r="AW74" i="7" s="1"/>
  <c r="AB74" i="7"/>
  <c r="AC74" i="7" s="1"/>
  <c r="X74" i="7"/>
  <c r="Y74" i="7" s="1"/>
  <c r="P74" i="7"/>
  <c r="Q74" i="7" s="1"/>
  <c r="AV90" i="7"/>
  <c r="AW90" i="7" s="1"/>
  <c r="X90" i="7"/>
  <c r="Y90" i="7" s="1"/>
  <c r="P90" i="7"/>
  <c r="Q90" i="7" s="1"/>
  <c r="AV73" i="7"/>
  <c r="AW73" i="7" s="1"/>
  <c r="AR73" i="7"/>
  <c r="AS73" i="7" s="1"/>
  <c r="AF73" i="7"/>
  <c r="AG73" i="7" s="1"/>
  <c r="T73" i="7"/>
  <c r="U73" i="7" s="1"/>
  <c r="P73" i="7"/>
  <c r="Q73" i="7" s="1"/>
  <c r="H73" i="7"/>
  <c r="I73" i="7" s="1"/>
  <c r="AV94" i="7"/>
  <c r="AW94" i="7" s="1"/>
  <c r="AR94" i="7"/>
  <c r="AS94" i="7" s="1"/>
  <c r="X94" i="7"/>
  <c r="Y94" i="7" s="1"/>
  <c r="P94" i="7"/>
  <c r="Q94" i="7" s="1"/>
  <c r="BH72" i="7"/>
  <c r="BI72" i="7" s="1"/>
  <c r="AV72" i="7"/>
  <c r="AW72" i="7" s="1"/>
  <c r="AR72" i="7"/>
  <c r="AS72" i="7" s="1"/>
  <c r="AB72" i="7"/>
  <c r="AC72" i="7" s="1"/>
  <c r="X72" i="7"/>
  <c r="Y72" i="7" s="1"/>
  <c r="P72" i="7"/>
  <c r="Q72" i="7" s="1"/>
  <c r="BH71" i="7"/>
  <c r="BI71" i="7" s="1"/>
  <c r="AZ71" i="7"/>
  <c r="BA71" i="7" s="1"/>
  <c r="AV71" i="7"/>
  <c r="AW71" i="7" s="1"/>
  <c r="AR71" i="7"/>
  <c r="AS71" i="7" s="1"/>
  <c r="AN71" i="7"/>
  <c r="AO71" i="7" s="1"/>
  <c r="AB71" i="7"/>
  <c r="AC71" i="7" s="1"/>
  <c r="X71" i="7"/>
  <c r="Y71" i="7" s="1"/>
  <c r="AV70" i="7"/>
  <c r="AW70" i="7" s="1"/>
  <c r="AJ70" i="7"/>
  <c r="AK70" i="7" s="1"/>
  <c r="AF70" i="7"/>
  <c r="AG70" i="7" s="1"/>
  <c r="BH69" i="7"/>
  <c r="BI69" i="7" s="1"/>
  <c r="BD69" i="7"/>
  <c r="BE69" i="7" s="1"/>
  <c r="AV69" i="7"/>
  <c r="AW69" i="7" s="1"/>
  <c r="AR69" i="7"/>
  <c r="AS69" i="7" s="1"/>
  <c r="AB69" i="7"/>
  <c r="AC69" i="7" s="1"/>
  <c r="X69" i="7"/>
  <c r="Y69" i="7" s="1"/>
  <c r="P69" i="7"/>
  <c r="Q69" i="7" s="1"/>
  <c r="H69" i="7"/>
  <c r="I69" i="7" s="1"/>
  <c r="BD62" i="7"/>
  <c r="BE62" i="7" s="1"/>
  <c r="AV62" i="7"/>
  <c r="AW62" i="7" s="1"/>
  <c r="AR62" i="7"/>
  <c r="AS62" i="7" s="1"/>
  <c r="AN62" i="7"/>
  <c r="AO62" i="7" s="1"/>
  <c r="AJ62" i="7"/>
  <c r="AK62" i="7" s="1"/>
  <c r="AF62" i="7"/>
  <c r="AG62" i="7" s="1"/>
  <c r="AB62" i="7"/>
  <c r="AC62" i="7" s="1"/>
  <c r="X62" i="7"/>
  <c r="Y62" i="7" s="1"/>
  <c r="T62" i="7"/>
  <c r="U62" i="7" s="1"/>
  <c r="P62" i="7"/>
  <c r="Q62" i="7" s="1"/>
  <c r="BD61" i="7"/>
  <c r="BE61" i="7" s="1"/>
  <c r="AV61" i="7"/>
  <c r="AW61" i="7" s="1"/>
  <c r="AR61" i="7"/>
  <c r="AS61" i="7" s="1"/>
  <c r="AN61" i="7"/>
  <c r="AO61" i="7" s="1"/>
  <c r="AB61" i="7"/>
  <c r="AC61" i="7" s="1"/>
  <c r="X61" i="7"/>
  <c r="Y61" i="7" s="1"/>
  <c r="P61" i="7"/>
  <c r="Q61" i="7" s="1"/>
  <c r="P68" i="7"/>
  <c r="Q68" i="7" s="1"/>
  <c r="AV60" i="7"/>
  <c r="AW60" i="7" s="1"/>
  <c r="AB60" i="7"/>
  <c r="AC60" i="7" s="1"/>
  <c r="X60" i="7"/>
  <c r="Y60" i="7" s="1"/>
  <c r="P60" i="7"/>
  <c r="Q60" i="7" s="1"/>
  <c r="AV23" i="7"/>
  <c r="AW23" i="7" s="1"/>
  <c r="AB23" i="7"/>
  <c r="AC23" i="7" s="1"/>
  <c r="X23" i="7"/>
  <c r="Y23" i="7" s="1"/>
  <c r="AV43" i="7"/>
  <c r="AW43" i="7" s="1"/>
  <c r="BD67" i="7"/>
  <c r="BE67" i="7" s="1"/>
  <c r="AV67" i="7"/>
  <c r="AW67" i="7" s="1"/>
  <c r="AN67" i="7"/>
  <c r="AO67" i="7" s="1"/>
  <c r="AB67" i="7"/>
  <c r="AC67" i="7" s="1"/>
  <c r="X67" i="7"/>
  <c r="Y67" i="7" s="1"/>
  <c r="P67" i="7"/>
  <c r="Q67" i="7" s="1"/>
  <c r="AV59" i="7"/>
  <c r="AW59" i="7" s="1"/>
  <c r="AN59" i="7"/>
  <c r="AO59" i="7" s="1"/>
  <c r="AB59" i="7"/>
  <c r="AC59" i="7" s="1"/>
  <c r="X59" i="7"/>
  <c r="Y59" i="7" s="1"/>
  <c r="H59" i="7"/>
  <c r="I59" i="7" s="1"/>
  <c r="T58" i="7"/>
  <c r="U58" i="7" s="1"/>
  <c r="AV57" i="7"/>
  <c r="AW57" i="7" s="1"/>
  <c r="T57" i="7"/>
  <c r="U57" i="7" s="1"/>
  <c r="BH66" i="7"/>
  <c r="BI66" i="7" s="1"/>
  <c r="BD66" i="7"/>
  <c r="BE66" i="7" s="1"/>
  <c r="AZ66" i="7"/>
  <c r="BA66" i="7" s="1"/>
  <c r="P66" i="7"/>
  <c r="Q66" i="7" s="1"/>
  <c r="AR56" i="7"/>
  <c r="AS56" i="7" s="1"/>
  <c r="AV65" i="7"/>
  <c r="AW65" i="7" s="1"/>
  <c r="AN65" i="7"/>
  <c r="AO65" i="7" s="1"/>
  <c r="AB65" i="7"/>
  <c r="AC65" i="7" s="1"/>
  <c r="X65" i="7"/>
  <c r="Y65" i="7" s="1"/>
  <c r="AV55" i="7"/>
  <c r="AW55" i="7" s="1"/>
  <c r="AB55" i="7"/>
  <c r="AC55" i="7" s="1"/>
  <c r="X55" i="7"/>
  <c r="Y55" i="7" s="1"/>
  <c r="AV64" i="7"/>
  <c r="AW64" i="7" s="1"/>
  <c r="AB64" i="7"/>
  <c r="AC64" i="7" s="1"/>
  <c r="P64" i="7"/>
  <c r="Q64" i="7" s="1"/>
  <c r="AV63" i="7"/>
  <c r="AW63" i="7" s="1"/>
  <c r="H63" i="7"/>
  <c r="I63" i="7" s="1"/>
  <c r="AV54" i="7"/>
  <c r="AW54" i="7" s="1"/>
  <c r="BH53" i="7"/>
  <c r="BI53" i="7" s="1"/>
  <c r="BD53" i="7"/>
  <c r="BE53" i="7" s="1"/>
  <c r="AZ53" i="7"/>
  <c r="BA53" i="7" s="1"/>
  <c r="AV53" i="7"/>
  <c r="AW53" i="7" s="1"/>
  <c r="AB53" i="7"/>
  <c r="AC53" i="7" s="1"/>
  <c r="X53" i="7"/>
  <c r="Y53" i="7" s="1"/>
  <c r="P53" i="7"/>
  <c r="Q53" i="7" s="1"/>
  <c r="L53" i="7"/>
  <c r="M53" i="7" s="1"/>
  <c r="AV52" i="7"/>
  <c r="AW52" i="7" s="1"/>
  <c r="AR52" i="7"/>
  <c r="AS52" i="7" s="1"/>
  <c r="X52" i="7"/>
  <c r="Y52" i="7" s="1"/>
  <c r="L52" i="7"/>
  <c r="M52" i="7" s="1"/>
  <c r="AV51" i="7"/>
  <c r="AW51" i="7" s="1"/>
  <c r="AF51" i="7"/>
  <c r="AG51" i="7" s="1"/>
  <c r="AV50" i="7"/>
  <c r="AW50" i="7" s="1"/>
  <c r="AB50" i="7"/>
  <c r="AC50" i="7" s="1"/>
  <c r="X50" i="7"/>
  <c r="Y50" i="7" s="1"/>
  <c r="P50" i="7"/>
  <c r="Q50" i="7" s="1"/>
  <c r="BH49" i="7"/>
  <c r="BI49" i="7" s="1"/>
  <c r="AV49" i="7"/>
  <c r="AW49" i="7" s="1"/>
  <c r="AR49" i="7"/>
  <c r="AS49" i="7" s="1"/>
  <c r="BH48" i="7"/>
  <c r="BI48" i="7" s="1"/>
  <c r="AZ48" i="7"/>
  <c r="BA48" i="7" s="1"/>
  <c r="AV48" i="7"/>
  <c r="AW48" i="7" s="1"/>
  <c r="AN48" i="7"/>
  <c r="AO48" i="7" s="1"/>
  <c r="AB48" i="7"/>
  <c r="AC48" i="7" s="1"/>
  <c r="X48" i="7"/>
  <c r="Y48" i="7" s="1"/>
  <c r="P48" i="7"/>
  <c r="Q48" i="7" s="1"/>
  <c r="AV42" i="7"/>
  <c r="AW42" i="7" s="1"/>
  <c r="AN42" i="7"/>
  <c r="AO42" i="7" s="1"/>
  <c r="AB42" i="7"/>
  <c r="AC42" i="7" s="1"/>
  <c r="X42" i="7"/>
  <c r="Y42" i="7" s="1"/>
  <c r="AR22" i="7"/>
  <c r="AS22" i="7" s="1"/>
  <c r="P22" i="7"/>
  <c r="Q22" i="7" s="1"/>
  <c r="P41" i="7"/>
  <c r="Q41" i="7" s="1"/>
  <c r="AV40" i="7"/>
  <c r="AW40" i="7" s="1"/>
  <c r="AB40" i="7"/>
  <c r="AC40" i="7" s="1"/>
  <c r="X40" i="7"/>
  <c r="Y40" i="7" s="1"/>
  <c r="AV39" i="7"/>
  <c r="AW39" i="7" s="1"/>
  <c r="AB39" i="7"/>
  <c r="AC39" i="7" s="1"/>
  <c r="X39" i="7"/>
  <c r="Y39" i="7" s="1"/>
  <c r="H39" i="7"/>
  <c r="I39" i="7" s="1"/>
  <c r="AR38" i="7"/>
  <c r="AS38" i="7" s="1"/>
  <c r="AB38" i="7"/>
  <c r="AC38" i="7" s="1"/>
  <c r="AV37" i="7"/>
  <c r="AW37" i="7" s="1"/>
  <c r="AN37" i="7"/>
  <c r="AO37" i="7" s="1"/>
  <c r="AB37" i="7"/>
  <c r="AC37" i="7" s="1"/>
  <c r="X37" i="7"/>
  <c r="Y37" i="7" s="1"/>
  <c r="P37" i="7"/>
  <c r="Q37" i="7" s="1"/>
  <c r="P36" i="7"/>
  <c r="Q36" i="7" s="1"/>
  <c r="P21" i="7"/>
  <c r="Q21" i="7" s="1"/>
  <c r="L21" i="7"/>
  <c r="M21" i="7" s="1"/>
  <c r="BD35" i="7"/>
  <c r="BE35" i="7" s="1"/>
  <c r="AV35" i="7"/>
  <c r="AW35" i="7" s="1"/>
  <c r="AN35" i="7"/>
  <c r="AO35" i="7" s="1"/>
  <c r="AB35" i="7"/>
  <c r="AC35" i="7" s="1"/>
  <c r="X35" i="7"/>
  <c r="Y35" i="7" s="1"/>
  <c r="AV20" i="7"/>
  <c r="AW20" i="7" s="1"/>
  <c r="AB20" i="7"/>
  <c r="AC20" i="7" s="1"/>
  <c r="X20" i="7"/>
  <c r="Y20" i="7" s="1"/>
  <c r="H20" i="7"/>
  <c r="I20" i="7" s="1"/>
  <c r="AV47" i="7"/>
  <c r="AW47" i="7" s="1"/>
  <c r="AR47" i="7"/>
  <c r="AS47" i="7" s="1"/>
  <c r="AN47" i="7"/>
  <c r="AO47" i="7" s="1"/>
  <c r="AB47" i="7"/>
  <c r="AC47" i="7" s="1"/>
  <c r="X47" i="7"/>
  <c r="Y47" i="7" s="1"/>
  <c r="P47" i="7"/>
  <c r="Q47" i="7" s="1"/>
  <c r="AV46" i="7"/>
  <c r="AW46" i="7" s="1"/>
  <c r="AR46" i="7"/>
  <c r="AS46" i="7" s="1"/>
  <c r="AB46" i="7"/>
  <c r="AC46" i="7" s="1"/>
  <c r="X46" i="7"/>
  <c r="Y46" i="7" s="1"/>
  <c r="P46" i="7"/>
  <c r="Q46" i="7" s="1"/>
  <c r="AV19" i="7"/>
  <c r="AW19" i="7" s="1"/>
  <c r="AB19" i="7"/>
  <c r="AC19" i="7" s="1"/>
  <c r="AB34" i="7"/>
  <c r="AC34" i="7" s="1"/>
  <c r="AV33" i="7"/>
  <c r="AW33" i="7" s="1"/>
  <c r="AN33" i="7"/>
  <c r="AO33" i="7" s="1"/>
  <c r="AB33" i="7"/>
  <c r="AC33" i="7" s="1"/>
  <c r="X33" i="7"/>
  <c r="Y33" i="7" s="1"/>
  <c r="P33" i="7"/>
  <c r="Q33" i="7" s="1"/>
  <c r="BD32" i="7"/>
  <c r="BE32" i="7" s="1"/>
  <c r="AV32" i="7"/>
  <c r="AW32" i="7" s="1"/>
  <c r="AR32" i="7"/>
  <c r="AS32" i="7" s="1"/>
  <c r="AN32" i="7"/>
  <c r="AO32" i="7" s="1"/>
  <c r="AB32" i="7"/>
  <c r="AC32" i="7" s="1"/>
  <c r="X32" i="7"/>
  <c r="Y32" i="7" s="1"/>
  <c r="P32" i="7"/>
  <c r="Q32" i="7" s="1"/>
  <c r="AV31" i="7"/>
  <c r="AW31" i="7" s="1"/>
  <c r="AV18" i="7"/>
  <c r="AW18" i="7" s="1"/>
  <c r="AN18" i="7"/>
  <c r="AO18" i="7" s="1"/>
  <c r="AB18" i="7"/>
  <c r="AC18" i="7" s="1"/>
  <c r="X18" i="7"/>
  <c r="Y18" i="7" s="1"/>
  <c r="AV17" i="7"/>
  <c r="AW17" i="7" s="1"/>
  <c r="AR17" i="7"/>
  <c r="AS17" i="7" s="1"/>
  <c r="P17" i="7"/>
  <c r="Q17" i="7" s="1"/>
  <c r="AV16" i="7"/>
  <c r="AW16" i="7" s="1"/>
  <c r="AN16" i="7"/>
  <c r="AO16" i="7" s="1"/>
  <c r="AB16" i="7"/>
  <c r="AC16" i="7" s="1"/>
  <c r="X16" i="7"/>
  <c r="Y16" i="7" s="1"/>
  <c r="AV30" i="7"/>
  <c r="AW30" i="7" s="1"/>
  <c r="X30" i="7"/>
  <c r="Y30" i="7" s="1"/>
  <c r="AV15" i="7"/>
  <c r="AW15" i="7" s="1"/>
  <c r="BH14" i="7"/>
  <c r="BI14" i="7" s="1"/>
  <c r="BD14" i="7"/>
  <c r="BE14" i="7" s="1"/>
  <c r="AZ14" i="7"/>
  <c r="BA14" i="7" s="1"/>
  <c r="AV14" i="7"/>
  <c r="AW14" i="7" s="1"/>
  <c r="AR14" i="7"/>
  <c r="AS14" i="7" s="1"/>
  <c r="AN14" i="7"/>
  <c r="AO14" i="7" s="1"/>
  <c r="X14" i="7"/>
  <c r="Y14" i="7" s="1"/>
  <c r="AV29" i="7"/>
  <c r="AW29" i="7" s="1"/>
  <c r="AR29" i="7"/>
  <c r="AS29" i="7" s="1"/>
  <c r="AN29" i="7"/>
  <c r="AO29" i="7" s="1"/>
  <c r="X29" i="7"/>
  <c r="Y29" i="7" s="1"/>
  <c r="BD13" i="7"/>
  <c r="BE13" i="7" s="1"/>
  <c r="AV13" i="7"/>
  <c r="AW13" i="7" s="1"/>
  <c r="AR13" i="7"/>
  <c r="AS13" i="7" s="1"/>
  <c r="AB13" i="7"/>
  <c r="AC13" i="7" s="1"/>
  <c r="X13" i="7"/>
  <c r="Y13" i="7" s="1"/>
  <c r="AV28" i="7"/>
  <c r="AW28" i="7" s="1"/>
  <c r="AB28" i="7"/>
  <c r="AC28" i="7" s="1"/>
  <c r="X28" i="7"/>
  <c r="Y28" i="7" s="1"/>
  <c r="BD45" i="7"/>
  <c r="BE45" i="7" s="1"/>
  <c r="AV45" i="7"/>
  <c r="AW45" i="7" s="1"/>
  <c r="AR45" i="7"/>
  <c r="AS45" i="7" s="1"/>
  <c r="AN45" i="7"/>
  <c r="AO45" i="7" s="1"/>
  <c r="AJ45" i="7"/>
  <c r="AK45" i="7" s="1"/>
  <c r="AF45" i="7"/>
  <c r="AG45" i="7" s="1"/>
  <c r="AB45" i="7"/>
  <c r="AC45" i="7" s="1"/>
  <c r="T45" i="7"/>
  <c r="U45" i="7" s="1"/>
  <c r="P45" i="7"/>
  <c r="Q45" i="7" s="1"/>
  <c r="H45" i="7"/>
  <c r="I45" i="7" s="1"/>
  <c r="AV12" i="7"/>
  <c r="AW12" i="7" s="1"/>
  <c r="AV27" i="7"/>
  <c r="AW27" i="7" s="1"/>
  <c r="AV26" i="7"/>
  <c r="AW26" i="7" s="1"/>
  <c r="AR26" i="7"/>
  <c r="AS26" i="7" s="1"/>
  <c r="BH11" i="7"/>
  <c r="BI11" i="7" s="1"/>
  <c r="BD11" i="7"/>
  <c r="BE11" i="7" s="1"/>
  <c r="AZ11" i="7"/>
  <c r="BA11" i="7" s="1"/>
  <c r="AV11" i="7"/>
  <c r="AW11" i="7" s="1"/>
  <c r="AR11" i="7"/>
  <c r="AS11" i="7" s="1"/>
  <c r="AN11" i="7"/>
  <c r="AO11" i="7" s="1"/>
  <c r="AB11" i="7"/>
  <c r="AC11" i="7" s="1"/>
  <c r="X11" i="7"/>
  <c r="Y11" i="7" s="1"/>
  <c r="AV44" i="7"/>
  <c r="AW44" i="7" s="1"/>
  <c r="AR44" i="7"/>
  <c r="AS44" i="7" s="1"/>
  <c r="AB44" i="7"/>
  <c r="AC44" i="7" s="1"/>
  <c r="X44" i="7"/>
  <c r="Y44" i="7" s="1"/>
  <c r="P44" i="7"/>
  <c r="Q44" i="7" s="1"/>
  <c r="H44" i="7"/>
  <c r="I44" i="7" s="1"/>
  <c r="AR25" i="7"/>
  <c r="AS25" i="7" s="1"/>
  <c r="BD24" i="7"/>
  <c r="BE24" i="7" s="1"/>
  <c r="AV24" i="7"/>
  <c r="AW24" i="7" s="1"/>
  <c r="AN24" i="7"/>
  <c r="AO24" i="7" s="1"/>
  <c r="AB24" i="7"/>
  <c r="AC24" i="7" s="1"/>
  <c r="X24" i="7"/>
  <c r="Y24" i="7" s="1"/>
  <c r="BA98" i="7" l="1"/>
  <c r="BA99" i="7"/>
  <c r="BA101" i="7" s="1"/>
  <c r="BA97" i="7"/>
  <c r="BA102" i="7"/>
  <c r="I99" i="7"/>
  <c r="I101" i="7" s="1"/>
  <c r="I97" i="7"/>
  <c r="I102" i="7"/>
  <c r="I98" i="7"/>
  <c r="U99" i="7"/>
  <c r="U101" i="7" s="1"/>
  <c r="U98" i="7"/>
  <c r="U97" i="7"/>
  <c r="U102" i="7"/>
  <c r="AG102" i="7"/>
  <c r="AG99" i="7"/>
  <c r="AG101" i="7" s="1"/>
  <c r="AG98" i="7"/>
  <c r="AG97" i="7"/>
  <c r="AK102" i="7"/>
  <c r="AK97" i="7"/>
  <c r="AK98" i="7"/>
  <c r="AK99" i="7"/>
  <c r="AK101" i="7" s="1"/>
  <c r="M99" i="7"/>
  <c r="M101" i="7" s="1"/>
  <c r="M97" i="7"/>
  <c r="M102" i="7"/>
  <c r="M98" i="7"/>
  <c r="BE98" i="7"/>
  <c r="BE102" i="7"/>
  <c r="BE99" i="7"/>
  <c r="BE101" i="7" s="1"/>
  <c r="BE97" i="7"/>
  <c r="BI99" i="7"/>
  <c r="BI101" i="7" s="1"/>
  <c r="BI98" i="7"/>
  <c r="BI102" i="7"/>
  <c r="BI97" i="7"/>
  <c r="Y102" i="7"/>
  <c r="Y97" i="7"/>
  <c r="Y99" i="7"/>
  <c r="Y101" i="7" s="1"/>
  <c r="Y98" i="7"/>
  <c r="Q102" i="7"/>
  <c r="Q98" i="7"/>
  <c r="Q97" i="7"/>
  <c r="Q99" i="7"/>
  <c r="Q101" i="7" s="1"/>
  <c r="AC102" i="7"/>
  <c r="AC98" i="7"/>
  <c r="AC99" i="7"/>
  <c r="AC101" i="7" s="1"/>
  <c r="AC97" i="7"/>
  <c r="AO99" i="7"/>
  <c r="AO101" i="7" s="1"/>
  <c r="AO102" i="7"/>
  <c r="AO98" i="7"/>
  <c r="AO97" i="7"/>
  <c r="AS102" i="7"/>
  <c r="AS98" i="7"/>
  <c r="AS97" i="7"/>
  <c r="AS99" i="7"/>
  <c r="AS101" i="7" s="1"/>
  <c r="AW102" i="7"/>
  <c r="AW97" i="7"/>
  <c r="AW98" i="7"/>
  <c r="AW99" i="7"/>
  <c r="AW101" i="7" s="1"/>
  <c r="H98" i="7"/>
  <c r="AF98" i="7"/>
  <c r="P98" i="7"/>
  <c r="AJ99" i="7"/>
  <c r="AB99" i="7"/>
  <c r="AJ98" i="7"/>
  <c r="AZ99" i="7"/>
  <c r="AN99" i="7"/>
  <c r="X98" i="7"/>
  <c r="AV98" i="7"/>
  <c r="T98" i="7"/>
  <c r="AB98" i="7"/>
  <c r="AN98" i="7"/>
  <c r="AZ98" i="7"/>
  <c r="BD99" i="7"/>
  <c r="AR98" i="7"/>
  <c r="BH99" i="7"/>
  <c r="BD98" i="7"/>
  <c r="L98" i="7"/>
  <c r="X99" i="7"/>
  <c r="AV99" i="7"/>
  <c r="T99" i="7"/>
  <c r="H99" i="7"/>
  <c r="AF99" i="7"/>
  <c r="AR99" i="7"/>
  <c r="BH98" i="7"/>
  <c r="P99" i="7"/>
  <c r="L99" i="7"/>
  <c r="P100" i="7" l="1"/>
  <c r="AJ100" i="7"/>
  <c r="AR100" i="7"/>
  <c r="T100" i="7"/>
  <c r="BD100" i="7"/>
  <c r="AV100" i="7"/>
  <c r="X100" i="7"/>
  <c r="AZ100" i="7"/>
  <c r="AB100" i="7"/>
  <c r="AF100" i="7"/>
  <c r="AN100" i="7"/>
  <c r="BH100" i="7"/>
  <c r="L100" i="7"/>
  <c r="H100" i="7"/>
</calcChain>
</file>

<file path=xl/sharedStrings.xml><?xml version="1.0" encoding="utf-8"?>
<sst xmlns="http://schemas.openxmlformats.org/spreadsheetml/2006/main" count="714" uniqueCount="262">
  <si>
    <t>Filename</t>
  </si>
  <si>
    <t>PFPrA</t>
  </si>
  <si>
    <t>PFBA</t>
  </si>
  <si>
    <t>PFPeA</t>
  </si>
  <si>
    <t>PFBS</t>
  </si>
  <si>
    <t>PFHxA</t>
  </si>
  <si>
    <t>PFHpA</t>
  </si>
  <si>
    <t>6:2-FTS</t>
  </si>
  <si>
    <t>6:2-FTAB</t>
  </si>
  <si>
    <t>PFOA</t>
  </si>
  <si>
    <t>PFHxS</t>
  </si>
  <si>
    <t>PFOSAmS</t>
  </si>
  <si>
    <t>PFNA</t>
  </si>
  <si>
    <t>PFDA</t>
  </si>
  <si>
    <t>PFOS</t>
  </si>
  <si>
    <t>PFUnA</t>
  </si>
  <si>
    <t>FOSA</t>
  </si>
  <si>
    <t>PFOcDA</t>
  </si>
  <si>
    <t>10X</t>
  </si>
  <si>
    <t>11X</t>
  </si>
  <si>
    <t>119X</t>
  </si>
  <si>
    <t>12X</t>
  </si>
  <si>
    <t>13X</t>
  </si>
  <si>
    <t>16X</t>
  </si>
  <si>
    <t>17X</t>
  </si>
  <si>
    <t>177X</t>
  </si>
  <si>
    <t>18X</t>
  </si>
  <si>
    <t>19X</t>
  </si>
  <si>
    <t>20X</t>
  </si>
  <si>
    <t>21X</t>
  </si>
  <si>
    <t>22X</t>
  </si>
  <si>
    <t>23X</t>
  </si>
  <si>
    <t>24X</t>
  </si>
  <si>
    <t>25X</t>
  </si>
  <si>
    <t>3X</t>
  </si>
  <si>
    <t>4X</t>
  </si>
  <si>
    <t>5X</t>
  </si>
  <si>
    <t>7X</t>
  </si>
  <si>
    <t>8X</t>
  </si>
  <si>
    <t>9X</t>
  </si>
  <si>
    <t>100X</t>
  </si>
  <si>
    <t>106X</t>
  </si>
  <si>
    <t>115X</t>
  </si>
  <si>
    <t>121X</t>
  </si>
  <si>
    <t>122X</t>
  </si>
  <si>
    <t>132X</t>
  </si>
  <si>
    <t>137X</t>
  </si>
  <si>
    <t>138X</t>
  </si>
  <si>
    <t>142X</t>
  </si>
  <si>
    <t>144X</t>
  </si>
  <si>
    <t>147X</t>
  </si>
  <si>
    <t>149X</t>
  </si>
  <si>
    <t>152X</t>
  </si>
  <si>
    <t>159X</t>
  </si>
  <si>
    <t>165X</t>
  </si>
  <si>
    <t>190X</t>
  </si>
  <si>
    <t>31X</t>
  </si>
  <si>
    <t>32X</t>
  </si>
  <si>
    <t>35X</t>
  </si>
  <si>
    <t>37X</t>
  </si>
  <si>
    <t>44X</t>
  </si>
  <si>
    <t>45X</t>
  </si>
  <si>
    <t>46X</t>
  </si>
  <si>
    <t>53X</t>
  </si>
  <si>
    <t>54X</t>
  </si>
  <si>
    <t>55X</t>
  </si>
  <si>
    <t>66X</t>
  </si>
  <si>
    <t>69X</t>
  </si>
  <si>
    <t>75X</t>
  </si>
  <si>
    <t>78X</t>
  </si>
  <si>
    <t>79X</t>
  </si>
  <si>
    <t>81X</t>
  </si>
  <si>
    <t>82X</t>
  </si>
  <si>
    <t>91X</t>
  </si>
  <si>
    <t>92X</t>
  </si>
  <si>
    <t>94X</t>
  </si>
  <si>
    <t>97X</t>
  </si>
  <si>
    <t>103X</t>
  </si>
  <si>
    <t>108X</t>
  </si>
  <si>
    <t>110X</t>
  </si>
  <si>
    <t>120X</t>
  </si>
  <si>
    <t>130X</t>
  </si>
  <si>
    <t>136X</t>
  </si>
  <si>
    <t>143X</t>
  </si>
  <si>
    <t>145X</t>
  </si>
  <si>
    <t xml:space="preserve">151X </t>
  </si>
  <si>
    <t>156X</t>
  </si>
  <si>
    <t>157X</t>
  </si>
  <si>
    <t>160X</t>
  </si>
  <si>
    <t>178X</t>
  </si>
  <si>
    <t>184X</t>
  </si>
  <si>
    <t>186X</t>
  </si>
  <si>
    <t>188X</t>
  </si>
  <si>
    <t>195X</t>
  </si>
  <si>
    <t>207X</t>
  </si>
  <si>
    <t>34X</t>
  </si>
  <si>
    <t>42X</t>
  </si>
  <si>
    <t>71X</t>
  </si>
  <si>
    <t>77X</t>
  </si>
  <si>
    <t>166X</t>
  </si>
  <si>
    <t>173X</t>
  </si>
  <si>
    <t>193X</t>
  </si>
  <si>
    <t>164X</t>
  </si>
  <si>
    <t>Ci=gPFAS/gsoil</t>
  </si>
  <si>
    <t>Cw=gPFAS/L</t>
  </si>
  <si>
    <t>Kd PFPrA</t>
  </si>
  <si>
    <t>Kd PFBA</t>
  </si>
  <si>
    <t>Kd PFPeA</t>
  </si>
  <si>
    <t>Kd PFBS</t>
  </si>
  <si>
    <t>%C org</t>
  </si>
  <si>
    <t>pH</t>
  </si>
  <si>
    <t>L/g soil</t>
  </si>
  <si>
    <t>LS(mL/g soil)</t>
  </si>
  <si>
    <t>Kd=(Ci - LS*Cw)/Cw</t>
  </si>
  <si>
    <t>STD.s</t>
  </si>
  <si>
    <t>DER %</t>
  </si>
  <si>
    <t>mL/g</t>
  </si>
  <si>
    <t>log kd</t>
  </si>
  <si>
    <t>Geometric coefficient of variation %</t>
  </si>
  <si>
    <t>N1</t>
  </si>
  <si>
    <t>N2</t>
  </si>
  <si>
    <t>N3</t>
  </si>
  <si>
    <t>N4</t>
  </si>
  <si>
    <t>N5</t>
  </si>
  <si>
    <t>N6</t>
  </si>
  <si>
    <t>N7</t>
  </si>
  <si>
    <t>N8</t>
  </si>
  <si>
    <t>N9</t>
  </si>
  <si>
    <t>N10</t>
  </si>
  <si>
    <t>N11</t>
  </si>
  <si>
    <t>N12</t>
  </si>
  <si>
    <t>N13</t>
  </si>
  <si>
    <t>N14</t>
  </si>
  <si>
    <t>N15</t>
  </si>
  <si>
    <t>N16</t>
  </si>
  <si>
    <t>N17</t>
  </si>
  <si>
    <t>N18</t>
  </si>
  <si>
    <t>N19</t>
  </si>
  <si>
    <t>N20</t>
  </si>
  <si>
    <t>N21</t>
  </si>
  <si>
    <t>N22</t>
  </si>
  <si>
    <t>N23</t>
  </si>
  <si>
    <t>N24</t>
  </si>
  <si>
    <t>N25</t>
  </si>
  <si>
    <t>N26</t>
  </si>
  <si>
    <t>N27</t>
  </si>
  <si>
    <t>N28</t>
  </si>
  <si>
    <t>N29</t>
  </si>
  <si>
    <t>N30</t>
  </si>
  <si>
    <t>N31</t>
  </si>
  <si>
    <t>N32</t>
  </si>
  <si>
    <t>N33</t>
  </si>
  <si>
    <t>N34</t>
  </si>
  <si>
    <t>N35</t>
  </si>
  <si>
    <t>N36</t>
  </si>
  <si>
    <t>N37</t>
  </si>
  <si>
    <t>N38</t>
  </si>
  <si>
    <t>N39</t>
  </si>
  <si>
    <t>N40</t>
  </si>
  <si>
    <t>N41</t>
  </si>
  <si>
    <t>N42</t>
  </si>
  <si>
    <t>N43</t>
  </si>
  <si>
    <t>N44</t>
  </si>
  <si>
    <t>N45</t>
  </si>
  <si>
    <t>N46</t>
  </si>
  <si>
    <t>N47</t>
  </si>
  <si>
    <t>N48</t>
  </si>
  <si>
    <t>N49</t>
  </si>
  <si>
    <t>N50</t>
  </si>
  <si>
    <t>N51</t>
  </si>
  <si>
    <t>N52</t>
  </si>
  <si>
    <t>N53</t>
  </si>
  <si>
    <t>N54</t>
  </si>
  <si>
    <t>N55</t>
  </si>
  <si>
    <t>N56</t>
  </si>
  <si>
    <t>N57</t>
  </si>
  <si>
    <t>N58</t>
  </si>
  <si>
    <t>N59</t>
  </si>
  <si>
    <t>N60</t>
  </si>
  <si>
    <t>N61</t>
  </si>
  <si>
    <t>N62</t>
  </si>
  <si>
    <t>N63</t>
  </si>
  <si>
    <t>N64</t>
  </si>
  <si>
    <t>N65</t>
  </si>
  <si>
    <t>N66</t>
  </si>
  <si>
    <t>N67</t>
  </si>
  <si>
    <t>N68</t>
  </si>
  <si>
    <t>N69</t>
  </si>
  <si>
    <t>N70</t>
  </si>
  <si>
    <t>N71</t>
  </si>
  <si>
    <t>N72</t>
  </si>
  <si>
    <t>N73</t>
  </si>
  <si>
    <t>N74</t>
  </si>
  <si>
    <t>N75</t>
  </si>
  <si>
    <t>N76</t>
  </si>
  <si>
    <t>N77</t>
  </si>
  <si>
    <t>N78</t>
  </si>
  <si>
    <t>N79</t>
  </si>
  <si>
    <t>N80</t>
  </si>
  <si>
    <t>N81</t>
  </si>
  <si>
    <t>N82</t>
  </si>
  <si>
    <t>N83</t>
  </si>
  <si>
    <t>N84</t>
  </si>
  <si>
    <t>TOTAL</t>
  </si>
  <si>
    <t>PFUnDA</t>
  </si>
  <si>
    <t>PFPeS</t>
  </si>
  <si>
    <t>PFHxDA</t>
  </si>
  <si>
    <t>15X</t>
  </si>
  <si>
    <t>2X</t>
  </si>
  <si>
    <t>6X</t>
  </si>
  <si>
    <t>199X</t>
  </si>
  <si>
    <t>174X</t>
  </si>
  <si>
    <t>203X</t>
  </si>
  <si>
    <t>56X</t>
  </si>
  <si>
    <t>Percentage detection ( %)</t>
  </si>
  <si>
    <t>NTf2</t>
  </si>
  <si>
    <t>PFHpS</t>
  </si>
  <si>
    <t>PFTrDS</t>
  </si>
  <si>
    <t>min</t>
  </si>
  <si>
    <t>max</t>
  </si>
  <si>
    <t>average</t>
  </si>
  <si>
    <t>std</t>
  </si>
  <si>
    <t>For each soil sample, the distribution coefficient will be calculated whenever a PFAS concentration is present in both the solid phase and the aqueous phase (soil leachate). Next Excel worksheet</t>
  </si>
  <si>
    <t>Sample name</t>
  </si>
  <si>
    <t>PFAS and concentrations found in soil leachate, 92 soil samples from Lyon 	(ppt=ng/L ). According to the methodology described in this article.</t>
  </si>
  <si>
    <t>The concentrations are within the quantifiable range.</t>
  </si>
  <si>
    <t>Saliu, T. D., D. Pepin, L. Delon, J. Fontaine and S. Sauvé (2025). "Occurrence of PFAS in Lyon soils: contribution and impact of industrial activities." Environmental Science: Advances 4(11): 1746-1766.</t>
  </si>
  <si>
    <t>Concentrations reported in the study:</t>
  </si>
  <si>
    <t xml:space="preserve">Total PFAS Concentrations Measured in Soil for the same Lyon samples (Previous Excel worksheet) </t>
  </si>
  <si>
    <t>ppb = µg/kg</t>
  </si>
  <si>
    <t>ng/L</t>
  </si>
  <si>
    <t>ug/Kg</t>
  </si>
  <si>
    <t>Soil</t>
  </si>
  <si>
    <t>leachate</t>
  </si>
  <si>
    <t>Kd PFOA</t>
  </si>
  <si>
    <t>Kd PFHxA</t>
  </si>
  <si>
    <t>Kd PFHpA</t>
  </si>
  <si>
    <t>Kd 6:2 FTS</t>
  </si>
  <si>
    <t>Kd 6:2 FTAB</t>
  </si>
  <si>
    <t>Kd PFHxS</t>
  </si>
  <si>
    <t>Kd PFNA</t>
  </si>
  <si>
    <t>Kd PFDA</t>
  </si>
  <si>
    <t>Kd PFOS</t>
  </si>
  <si>
    <t>Kd PFUnDA</t>
  </si>
  <si>
    <t>Reference:</t>
  </si>
  <si>
    <r>
      <t xml:space="preserve"> </t>
    </r>
    <r>
      <rPr>
        <b/>
        <sz val="9"/>
        <color theme="9" tint="-0.249977111117893"/>
        <rFont val="Symbol"/>
        <family val="1"/>
        <charset val="2"/>
      </rPr>
      <t>S</t>
    </r>
    <r>
      <rPr>
        <b/>
        <sz val="9"/>
        <color theme="9" tint="-0.249977111117893"/>
        <rFont val="Bahnschrift"/>
        <family val="2"/>
      </rPr>
      <t xml:space="preserve"> 77 PFAS µg/kg soil</t>
    </r>
  </si>
  <si>
    <t xml:space="preserve">Total PFAS </t>
  </si>
  <si>
    <t xml:space="preserve">PFAS </t>
  </si>
  <si>
    <t>paper</t>
  </si>
  <si>
    <t>lab</t>
  </si>
  <si>
    <t>Soil sample name</t>
  </si>
  <si>
    <t xml:space="preserve">Soil sample name </t>
  </si>
  <si>
    <t xml:space="preserve">Average </t>
  </si>
  <si>
    <t xml:space="preserve">Median </t>
  </si>
  <si>
    <t>Count</t>
  </si>
  <si>
    <t xml:space="preserve">84  SOIL SAMPLES IN THIS STUDY,  According to the methodology described in this article. </t>
  </si>
  <si>
    <r>
      <rPr>
        <b/>
        <sz val="9"/>
        <color theme="1"/>
        <rFont val="Symbol"/>
        <family val="1"/>
        <charset val="2"/>
      </rPr>
      <t>S</t>
    </r>
    <r>
      <rPr>
        <b/>
        <sz val="9"/>
        <color theme="1"/>
        <rFont val="Aptos Narrow"/>
        <family val="2"/>
      </rPr>
      <t xml:space="preserve"> PFAS conc.</t>
    </r>
  </si>
  <si>
    <t>Máximo</t>
  </si>
  <si>
    <t>Mínimo</t>
  </si>
  <si>
    <t>Latitude</t>
  </si>
  <si>
    <t>Longitude</t>
  </si>
  <si>
    <t>Figure 1.   Spatial distribution of soil sampling sites in Lyon, France.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</si>
</sst>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"/>
    <numFmt numFmtId="165" formatCode="0.000"/>
    <numFmt numFmtId="166" formatCode="#,##0.0"/>
    <numFmt numFmtId="167" formatCode="0.0000"/>
    <numFmt numFmtId="168" formatCode="0.00000"/>
    <numFmt numFmtId="169" formatCode="0.000000"/>
  </numFmts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Bahnschrift"/>
      <family val="2"/>
    </font>
    <font>
      <sz val="9"/>
      <color theme="1"/>
      <name val="Bahnschrift"/>
      <family val="2"/>
    </font>
    <font>
      <sz val="9"/>
      <color theme="5" tint="-0.249977111117893"/>
      <name val="Bahnschrift"/>
      <family val="2"/>
    </font>
    <font>
      <sz val="9"/>
      <name val="Bahnschrift"/>
      <family val="2"/>
    </font>
    <font>
      <sz val="11"/>
      <color theme="4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sz val="9"/>
      <color theme="9" tint="-0.249977111117893"/>
      <name val="Bahnschrift"/>
      <family val="2"/>
    </font>
    <font>
      <b/>
      <sz val="9"/>
      <color theme="9" tint="-0.249977111117893"/>
      <name val="Symbol"/>
      <family val="1"/>
      <charset val="2"/>
    </font>
    <font>
      <sz val="9"/>
      <color theme="1"/>
      <name val="Calibri"/>
      <family val="2"/>
      <scheme val="minor"/>
    </font>
    <font>
      <sz val="9"/>
      <color theme="9" tint="-0.249977111117893"/>
      <name val="Calibri"/>
      <family val="2"/>
      <scheme val="minor"/>
    </font>
    <font>
      <b/>
      <sz val="9"/>
      <color theme="9" tint="-0.249977111117893"/>
      <name val="Aptos Narrow"/>
      <family val="2"/>
    </font>
    <font>
      <sz val="9"/>
      <name val="Aptos Narrow"/>
      <family val="2"/>
    </font>
    <font>
      <sz val="9"/>
      <color theme="5" tint="-0.249977111117893"/>
      <name val="Aptos Narrow"/>
      <family val="2"/>
    </font>
    <font>
      <sz val="9"/>
      <color theme="4"/>
      <name val="Aptos Narrow"/>
      <family val="2"/>
    </font>
    <font>
      <b/>
      <sz val="9"/>
      <color theme="1"/>
      <name val="Aptos Narrow"/>
      <family val="2"/>
    </font>
    <font>
      <sz val="9"/>
      <color theme="1"/>
      <name val="Aptos Narrow"/>
      <family val="2"/>
    </font>
    <font>
      <b/>
      <sz val="9"/>
      <name val="Aptos Narrow"/>
      <family val="2"/>
    </font>
    <font>
      <b/>
      <sz val="9"/>
      <color theme="4"/>
      <name val="Aptos Narrow"/>
      <family val="2"/>
    </font>
    <font>
      <b/>
      <sz val="9"/>
      <color theme="1"/>
      <name val="Symbol"/>
      <family val="1"/>
      <charset val="2"/>
    </font>
    <font>
      <b/>
      <sz val="9"/>
      <color theme="1"/>
      <name val="Aptos Narrow"/>
      <family val="1"/>
      <charset val="2"/>
    </font>
    <font>
      <b/>
      <sz val="9"/>
      <color theme="5" tint="-0.249977111117893"/>
      <name val="Aptos Narrow"/>
      <family val="2"/>
    </font>
    <font>
      <sz val="9"/>
      <color theme="9" tint="-0.249977111117893"/>
      <name val="Aptos Narrow"/>
      <family val="2"/>
    </font>
    <font>
      <sz val="11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58">
    <xf numFmtId="0" fontId="0" fillId="0" borderId="0" xfId="0"/>
    <xf numFmtId="2" fontId="3" fillId="0" borderId="0" xfId="0" applyNumberFormat="1" applyFont="1" applyAlignment="1">
      <alignment horizontal="right"/>
    </xf>
    <xf numFmtId="2" fontId="4" fillId="0" borderId="0" xfId="0" applyNumberFormat="1" applyFont="1" applyAlignment="1">
      <alignment horizontal="right"/>
    </xf>
    <xf numFmtId="2" fontId="2" fillId="0" borderId="0" xfId="0" applyNumberFormat="1" applyFont="1" applyAlignment="1">
      <alignment horizontal="right"/>
    </xf>
    <xf numFmtId="1" fontId="0" fillId="0" borderId="0" xfId="0" applyNumberFormat="1" applyAlignment="1">
      <alignment horizontal="center"/>
    </xf>
    <xf numFmtId="2" fontId="3" fillId="0" borderId="0" xfId="0" applyNumberFormat="1" applyFont="1" applyAlignment="1">
      <alignment horizontal="center"/>
    </xf>
    <xf numFmtId="2" fontId="4" fillId="3" borderId="0" xfId="0" applyNumberFormat="1" applyFont="1" applyFill="1" applyAlignment="1">
      <alignment horizontal="right"/>
    </xf>
    <xf numFmtId="0" fontId="0" fillId="0" borderId="0" xfId="0" applyAlignment="1">
      <alignment horizontal="center"/>
    </xf>
    <xf numFmtId="0" fontId="0" fillId="3" borderId="0" xfId="0" applyFill="1"/>
    <xf numFmtId="2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166" fontId="2" fillId="0" borderId="0" xfId="0" applyNumberFormat="1" applyFont="1" applyAlignment="1">
      <alignment horizontal="center"/>
    </xf>
    <xf numFmtId="0" fontId="1" fillId="0" borderId="0" xfId="0" applyFont="1"/>
    <xf numFmtId="2" fontId="0" fillId="0" borderId="0" xfId="0" applyNumberFormat="1" applyAlignment="1">
      <alignment horizontal="center"/>
    </xf>
    <xf numFmtId="0" fontId="0" fillId="14" borderId="0" xfId="0" applyFill="1"/>
    <xf numFmtId="0" fontId="6" fillId="0" borderId="0" xfId="0" applyFont="1" applyAlignment="1">
      <alignment horizontal="center"/>
    </xf>
    <xf numFmtId="0" fontId="1" fillId="15" borderId="0" xfId="0" applyFont="1" applyFill="1" applyAlignment="1">
      <alignment horizontal="center"/>
    </xf>
    <xf numFmtId="0" fontId="0" fillId="15" borderId="0" xfId="0" applyFill="1" applyAlignment="1">
      <alignment horizontal="center"/>
    </xf>
    <xf numFmtId="0" fontId="6" fillId="15" borderId="0" xfId="0" applyFont="1" applyFill="1" applyAlignment="1">
      <alignment horizontal="center"/>
    </xf>
    <xf numFmtId="165" fontId="0" fillId="0" borderId="0" xfId="0" applyNumberFormat="1" applyAlignment="1">
      <alignment horizontal="center"/>
    </xf>
    <xf numFmtId="0" fontId="11" fillId="0" borderId="0" xfId="0" applyFont="1"/>
    <xf numFmtId="2" fontId="15" fillId="8" borderId="0" xfId="0" applyNumberFormat="1" applyFont="1" applyFill="1" applyAlignment="1">
      <alignment horizontal="center"/>
    </xf>
    <xf numFmtId="2" fontId="16" fillId="8" borderId="0" xfId="0" applyNumberFormat="1" applyFont="1" applyFill="1" applyAlignment="1">
      <alignment horizontal="center"/>
    </xf>
    <xf numFmtId="2" fontId="17" fillId="8" borderId="0" xfId="0" applyNumberFormat="1" applyFont="1" applyFill="1" applyAlignment="1">
      <alignment horizontal="center"/>
    </xf>
    <xf numFmtId="2" fontId="15" fillId="13" borderId="0" xfId="0" applyNumberFormat="1" applyFont="1" applyFill="1" applyAlignment="1">
      <alignment horizontal="center"/>
    </xf>
    <xf numFmtId="2" fontId="16" fillId="13" borderId="0" xfId="0" applyNumberFormat="1" applyFont="1" applyFill="1" applyAlignment="1">
      <alignment horizontal="center"/>
    </xf>
    <xf numFmtId="2" fontId="17" fillId="13" borderId="0" xfId="0" applyNumberFormat="1" applyFont="1" applyFill="1" applyAlignment="1">
      <alignment horizontal="center"/>
    </xf>
    <xf numFmtId="165" fontId="17" fillId="8" borderId="0" xfId="0" applyNumberFormat="1" applyFont="1" applyFill="1" applyAlignment="1">
      <alignment horizontal="center"/>
    </xf>
    <xf numFmtId="165" fontId="15" fillId="13" borderId="0" xfId="0" applyNumberFormat="1" applyFont="1" applyFill="1" applyAlignment="1">
      <alignment horizontal="center"/>
    </xf>
    <xf numFmtId="164" fontId="16" fillId="8" borderId="0" xfId="0" applyNumberFormat="1" applyFont="1" applyFill="1" applyAlignment="1">
      <alignment horizontal="center"/>
    </xf>
    <xf numFmtId="164" fontId="16" fillId="13" borderId="0" xfId="0" applyNumberFormat="1" applyFont="1" applyFill="1" applyAlignment="1">
      <alignment horizontal="center"/>
    </xf>
    <xf numFmtId="165" fontId="17" fillId="13" borderId="0" xfId="0" applyNumberFormat="1" applyFont="1" applyFill="1" applyAlignment="1">
      <alignment horizontal="center"/>
    </xf>
    <xf numFmtId="2" fontId="17" fillId="0" borderId="0" xfId="0" applyNumberFormat="1" applyFont="1" applyAlignment="1">
      <alignment horizontal="center"/>
    </xf>
    <xf numFmtId="1" fontId="17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right"/>
    </xf>
    <xf numFmtId="2" fontId="15" fillId="3" borderId="0" xfId="0" applyNumberFormat="1" applyFont="1" applyFill="1" applyAlignment="1">
      <alignment horizontal="right"/>
    </xf>
    <xf numFmtId="2" fontId="15" fillId="0" borderId="0" xfId="0" applyNumberFormat="1" applyFont="1"/>
    <xf numFmtId="165" fontId="15" fillId="8" borderId="0" xfId="0" applyNumberFormat="1" applyFont="1" applyFill="1" applyAlignment="1">
      <alignment horizontal="center"/>
    </xf>
    <xf numFmtId="0" fontId="7" fillId="0" borderId="0" xfId="0" applyFont="1"/>
    <xf numFmtId="0" fontId="12" fillId="0" borderId="0" xfId="0" applyFont="1"/>
    <xf numFmtId="0" fontId="3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2" fontId="14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2" fontId="5" fillId="0" borderId="0" xfId="0" applyNumberFormat="1" applyFont="1" applyAlignment="1">
      <alignment horizontal="center"/>
    </xf>
    <xf numFmtId="0" fontId="18" fillId="0" borderId="0" xfId="0" applyFont="1" applyAlignment="1">
      <alignment horizontal="center"/>
    </xf>
    <xf numFmtId="2" fontId="18" fillId="0" borderId="0" xfId="0" applyNumberFormat="1" applyFont="1" applyAlignment="1">
      <alignment horizontal="center"/>
    </xf>
    <xf numFmtId="0" fontId="15" fillId="0" borderId="0" xfId="0" applyFont="1" applyAlignment="1">
      <alignment horizontal="center"/>
    </xf>
    <xf numFmtId="0" fontId="18" fillId="2" borderId="0" xfId="0" applyFont="1" applyFill="1" applyAlignment="1">
      <alignment horizontal="center"/>
    </xf>
    <xf numFmtId="0" fontId="18" fillId="5" borderId="0" xfId="0" applyFont="1" applyFill="1" applyAlignment="1">
      <alignment horizontal="center"/>
    </xf>
    <xf numFmtId="2" fontId="14" fillId="16" borderId="0" xfId="0" applyNumberFormat="1" applyFont="1" applyFill="1" applyAlignment="1">
      <alignment horizontal="center"/>
    </xf>
    <xf numFmtId="2" fontId="14" fillId="17" borderId="0" xfId="0" applyNumberFormat="1" applyFont="1" applyFill="1" applyAlignment="1">
      <alignment horizontal="center"/>
    </xf>
    <xf numFmtId="2" fontId="14" fillId="6" borderId="0" xfId="0" applyNumberFormat="1" applyFont="1" applyFill="1" applyAlignment="1">
      <alignment horizontal="center"/>
    </xf>
    <xf numFmtId="0" fontId="18" fillId="6" borderId="0" xfId="0" applyFont="1" applyFill="1" applyAlignment="1">
      <alignment horizontal="center"/>
    </xf>
    <xf numFmtId="2" fontId="14" fillId="18" borderId="0" xfId="0" applyNumberFormat="1" applyFont="1" applyFill="1" applyAlignment="1">
      <alignment horizontal="center"/>
    </xf>
    <xf numFmtId="0" fontId="8" fillId="14" borderId="0" xfId="0" applyFont="1" applyFill="1"/>
    <xf numFmtId="0" fontId="12" fillId="14" borderId="0" xfId="0" applyFont="1" applyFill="1"/>
    <xf numFmtId="2" fontId="9" fillId="14" borderId="0" xfId="0" applyNumberFormat="1" applyFont="1" applyFill="1" applyAlignment="1">
      <alignment horizontal="center"/>
    </xf>
    <xf numFmtId="166" fontId="9" fillId="14" borderId="0" xfId="0" applyNumberFormat="1" applyFont="1" applyFill="1" applyAlignment="1">
      <alignment horizontal="center"/>
    </xf>
    <xf numFmtId="166" fontId="13" fillId="14" borderId="0" xfId="0" applyNumberFormat="1" applyFont="1" applyFill="1" applyAlignment="1">
      <alignment horizontal="center"/>
    </xf>
    <xf numFmtId="2" fontId="13" fillId="14" borderId="0" xfId="0" applyNumberFormat="1" applyFont="1" applyFill="1" applyAlignment="1">
      <alignment horizontal="center"/>
    </xf>
    <xf numFmtId="2" fontId="19" fillId="8" borderId="0" xfId="0" applyNumberFormat="1" applyFont="1" applyFill="1" applyAlignment="1">
      <alignment horizontal="center"/>
    </xf>
    <xf numFmtId="0" fontId="18" fillId="0" borderId="0" xfId="0" applyFont="1"/>
    <xf numFmtId="2" fontId="18" fillId="8" borderId="1" xfId="0" applyNumberFormat="1" applyFont="1" applyFill="1" applyBorder="1" applyAlignment="1">
      <alignment horizontal="center"/>
    </xf>
    <xf numFmtId="2" fontId="18" fillId="13" borderId="1" xfId="0" applyNumberFormat="1" applyFont="1" applyFill="1" applyBorder="1" applyAlignment="1">
      <alignment horizontal="center"/>
    </xf>
    <xf numFmtId="1" fontId="18" fillId="0" borderId="0" xfId="0" applyNumberFormat="1" applyFont="1" applyAlignment="1">
      <alignment horizontal="center"/>
    </xf>
    <xf numFmtId="2" fontId="18" fillId="8" borderId="0" xfId="0" applyNumberFormat="1" applyFont="1" applyFill="1" applyAlignment="1">
      <alignment horizontal="center"/>
    </xf>
    <xf numFmtId="2" fontId="18" fillId="13" borderId="0" xfId="0" applyNumberFormat="1" applyFont="1" applyFill="1" applyAlignment="1">
      <alignment horizontal="center"/>
    </xf>
    <xf numFmtId="2" fontId="17" fillId="0" borderId="0" xfId="0" applyNumberFormat="1" applyFont="1" applyAlignment="1">
      <alignment horizontal="right"/>
    </xf>
    <xf numFmtId="2" fontId="17" fillId="2" borderId="0" xfId="0" applyNumberFormat="1" applyFont="1" applyFill="1" applyAlignment="1">
      <alignment horizontal="center"/>
    </xf>
    <xf numFmtId="2" fontId="20" fillId="8" borderId="0" xfId="0" applyNumberFormat="1" applyFont="1" applyFill="1" applyAlignment="1">
      <alignment horizontal="center"/>
    </xf>
    <xf numFmtId="2" fontId="20" fillId="13" borderId="0" xfId="0" applyNumberFormat="1" applyFont="1" applyFill="1" applyAlignment="1">
      <alignment horizontal="center"/>
    </xf>
    <xf numFmtId="164" fontId="15" fillId="8" borderId="0" xfId="0" applyNumberFormat="1" applyFont="1" applyFill="1" applyAlignment="1">
      <alignment horizontal="center"/>
    </xf>
    <xf numFmtId="164" fontId="15" fillId="13" borderId="0" xfId="0" applyNumberFormat="1" applyFont="1" applyFill="1" applyAlignment="1">
      <alignment horizontal="center"/>
    </xf>
    <xf numFmtId="164" fontId="15" fillId="0" borderId="0" xfId="0" applyNumberFormat="1" applyFont="1" applyAlignment="1">
      <alignment horizontal="right"/>
    </xf>
    <xf numFmtId="165" fontId="17" fillId="0" borderId="0" xfId="0" applyNumberFormat="1" applyFont="1" applyAlignment="1">
      <alignment horizontal="center"/>
    </xf>
    <xf numFmtId="0" fontId="18" fillId="8" borderId="0" xfId="0" applyFont="1" applyFill="1" applyAlignment="1">
      <alignment horizontal="center"/>
    </xf>
    <xf numFmtId="0" fontId="16" fillId="8" borderId="0" xfId="0" applyFont="1" applyFill="1" applyAlignment="1">
      <alignment horizontal="center"/>
    </xf>
    <xf numFmtId="0" fontId="18" fillId="13" borderId="0" xfId="0" applyFont="1" applyFill="1" applyAlignment="1">
      <alignment horizontal="center"/>
    </xf>
    <xf numFmtId="0" fontId="16" fillId="13" borderId="0" xfId="0" applyFont="1" applyFill="1" applyAlignment="1">
      <alignment horizontal="center"/>
    </xf>
    <xf numFmtId="0" fontId="17" fillId="13" borderId="0" xfId="0" applyFont="1" applyFill="1" applyAlignment="1">
      <alignment horizontal="center"/>
    </xf>
    <xf numFmtId="165" fontId="18" fillId="8" borderId="0" xfId="0" applyNumberFormat="1" applyFont="1" applyFill="1" applyAlignment="1">
      <alignment horizontal="center"/>
    </xf>
    <xf numFmtId="165" fontId="18" fillId="13" borderId="0" xfId="0" applyNumberFormat="1" applyFont="1" applyFill="1" applyAlignment="1">
      <alignment horizontal="center"/>
    </xf>
    <xf numFmtId="0" fontId="18" fillId="0" borderId="0" xfId="0" applyFont="1" applyAlignment="1">
      <alignment horizontal="left"/>
    </xf>
    <xf numFmtId="0" fontId="17" fillId="0" borderId="0" xfId="0" applyFont="1" applyAlignment="1">
      <alignment horizontal="center"/>
    </xf>
    <xf numFmtId="0" fontId="17" fillId="8" borderId="0" xfId="0" applyFont="1" applyFill="1" applyAlignment="1">
      <alignment horizontal="center"/>
    </xf>
    <xf numFmtId="164" fontId="15" fillId="8" borderId="2" xfId="0" applyNumberFormat="1" applyFont="1" applyFill="1" applyBorder="1" applyAlignment="1">
      <alignment horizontal="center"/>
    </xf>
    <xf numFmtId="0" fontId="16" fillId="8" borderId="2" xfId="0" applyFont="1" applyFill="1" applyBorder="1" applyAlignment="1">
      <alignment horizontal="center"/>
    </xf>
    <xf numFmtId="0" fontId="17" fillId="8" borderId="2" xfId="0" applyFont="1" applyFill="1" applyBorder="1" applyAlignment="1">
      <alignment horizontal="center"/>
    </xf>
    <xf numFmtId="164" fontId="15" fillId="13" borderId="2" xfId="0" applyNumberFormat="1" applyFont="1" applyFill="1" applyBorder="1" applyAlignment="1">
      <alignment horizontal="center"/>
    </xf>
    <xf numFmtId="0" fontId="16" fillId="13" borderId="2" xfId="0" applyFont="1" applyFill="1" applyBorder="1" applyAlignment="1">
      <alignment horizontal="center"/>
    </xf>
    <xf numFmtId="0" fontId="17" fillId="13" borderId="2" xfId="0" applyFont="1" applyFill="1" applyBorder="1" applyAlignment="1">
      <alignment horizontal="center"/>
    </xf>
    <xf numFmtId="0" fontId="16" fillId="0" borderId="0" xfId="0" applyFont="1" applyAlignment="1">
      <alignment horizontal="center"/>
    </xf>
    <xf numFmtId="165" fontId="18" fillId="0" borderId="0" xfId="0" applyNumberFormat="1" applyFont="1" applyAlignment="1">
      <alignment horizontal="center"/>
    </xf>
    <xf numFmtId="0" fontId="20" fillId="0" borderId="0" xfId="0" applyFont="1" applyAlignment="1">
      <alignment horizontal="center"/>
    </xf>
    <xf numFmtId="164" fontId="17" fillId="0" borderId="0" xfId="0" applyNumberFormat="1" applyFont="1" applyAlignment="1">
      <alignment horizontal="center"/>
    </xf>
    <xf numFmtId="2" fontId="17" fillId="0" borderId="0" xfId="0" applyNumberFormat="1" applyFont="1"/>
    <xf numFmtId="2" fontId="16" fillId="0" borderId="0" xfId="0" applyNumberFormat="1" applyFont="1" applyAlignment="1">
      <alignment horizontal="center"/>
    </xf>
    <xf numFmtId="2" fontId="18" fillId="0" borderId="0" xfId="0" applyNumberFormat="1" applyFont="1" applyAlignment="1">
      <alignment horizontal="right"/>
    </xf>
    <xf numFmtId="2" fontId="20" fillId="0" borderId="0" xfId="0" applyNumberFormat="1" applyFont="1" applyAlignment="1">
      <alignment horizontal="center"/>
    </xf>
    <xf numFmtId="168" fontId="18" fillId="13" borderId="0" xfId="0" applyNumberFormat="1" applyFont="1" applyFill="1" applyAlignment="1">
      <alignment horizontal="center"/>
    </xf>
    <xf numFmtId="164" fontId="18" fillId="13" borderId="0" xfId="0" applyNumberFormat="1" applyFont="1" applyFill="1" applyAlignment="1">
      <alignment horizontal="center"/>
    </xf>
    <xf numFmtId="167" fontId="18" fillId="8" borderId="0" xfId="0" applyNumberFormat="1" applyFont="1" applyFill="1" applyAlignment="1">
      <alignment horizontal="center"/>
    </xf>
    <xf numFmtId="2" fontId="17" fillId="0" borderId="0" xfId="0" applyNumberFormat="1" applyFont="1" applyAlignment="1">
      <alignment horizontal="left"/>
    </xf>
    <xf numFmtId="1" fontId="17" fillId="0" borderId="0" xfId="0" applyNumberFormat="1" applyFont="1" applyAlignment="1">
      <alignment horizontal="left"/>
    </xf>
    <xf numFmtId="0" fontId="17" fillId="0" borderId="0" xfId="0" applyFont="1"/>
    <xf numFmtId="2" fontId="17" fillId="2" borderId="0" xfId="0" applyNumberFormat="1" applyFont="1" applyFill="1" applyAlignment="1">
      <alignment horizontal="right"/>
    </xf>
    <xf numFmtId="2" fontId="17" fillId="9" borderId="0" xfId="0" applyNumberFormat="1" applyFont="1" applyFill="1" applyAlignment="1">
      <alignment horizontal="right"/>
    </xf>
    <xf numFmtId="2" fontId="17" fillId="4" borderId="0" xfId="0" applyNumberFormat="1" applyFont="1" applyFill="1" applyAlignment="1">
      <alignment horizontal="right"/>
    </xf>
    <xf numFmtId="2" fontId="17" fillId="12" borderId="0" xfId="0" applyNumberFormat="1" applyFont="1" applyFill="1" applyAlignment="1">
      <alignment horizontal="right"/>
    </xf>
    <xf numFmtId="2" fontId="17" fillId="10" borderId="0" xfId="0" applyNumberFormat="1" applyFont="1" applyFill="1" applyAlignment="1">
      <alignment horizontal="right"/>
    </xf>
    <xf numFmtId="2" fontId="17" fillId="8" borderId="0" xfId="0" applyNumberFormat="1" applyFont="1" applyFill="1" applyAlignment="1">
      <alignment horizontal="right"/>
    </xf>
    <xf numFmtId="2" fontId="18" fillId="0" borderId="0" xfId="0" applyNumberFormat="1" applyFont="1" applyAlignment="1">
      <alignment horizontal="left"/>
    </xf>
    <xf numFmtId="164" fontId="18" fillId="2" borderId="0" xfId="0" applyNumberFormat="1" applyFont="1" applyFill="1" applyAlignment="1">
      <alignment horizontal="right"/>
    </xf>
    <xf numFmtId="2" fontId="18" fillId="3" borderId="0" xfId="0" applyNumberFormat="1" applyFont="1" applyFill="1" applyAlignment="1">
      <alignment horizontal="right"/>
    </xf>
    <xf numFmtId="2" fontId="18" fillId="7" borderId="0" xfId="0" applyNumberFormat="1" applyFont="1" applyFill="1" applyAlignment="1">
      <alignment horizontal="right"/>
    </xf>
    <xf numFmtId="2" fontId="18" fillId="11" borderId="0" xfId="0" applyNumberFormat="1" applyFont="1" applyFill="1" applyAlignment="1">
      <alignment horizontal="right"/>
    </xf>
    <xf numFmtId="3" fontId="17" fillId="0" borderId="0" xfId="0" applyNumberFormat="1" applyFont="1" applyAlignment="1">
      <alignment horizontal="left"/>
    </xf>
    <xf numFmtId="164" fontId="18" fillId="0" borderId="0" xfId="0" applyNumberFormat="1" applyFont="1" applyAlignment="1">
      <alignment horizontal="right"/>
    </xf>
    <xf numFmtId="1" fontId="18" fillId="0" borderId="0" xfId="0" applyNumberFormat="1" applyFont="1" applyAlignment="1">
      <alignment horizontal="left"/>
    </xf>
    <xf numFmtId="1" fontId="18" fillId="0" borderId="0" xfId="0" applyNumberFormat="1" applyFont="1" applyAlignment="1">
      <alignment horizontal="right"/>
    </xf>
    <xf numFmtId="1" fontId="22" fillId="0" borderId="0" xfId="0" applyNumberFormat="1" applyFont="1" applyAlignment="1">
      <alignment horizontal="left"/>
    </xf>
    <xf numFmtId="0" fontId="23" fillId="0" borderId="0" xfId="0" applyFont="1"/>
    <xf numFmtId="2" fontId="23" fillId="0" borderId="0" xfId="0" applyNumberFormat="1" applyFont="1"/>
    <xf numFmtId="2" fontId="18" fillId="0" borderId="0" xfId="0" applyNumberFormat="1" applyFont="1"/>
    <xf numFmtId="0" fontId="15" fillId="0" borderId="0" xfId="0" applyFont="1"/>
    <xf numFmtId="0" fontId="23" fillId="0" borderId="0" xfId="0" applyFont="1" applyAlignment="1">
      <alignment horizontal="center"/>
    </xf>
    <xf numFmtId="2" fontId="23" fillId="0" borderId="1" xfId="0" applyNumberFormat="1" applyFont="1" applyBorder="1"/>
    <xf numFmtId="0" fontId="23" fillId="0" borderId="1" xfId="0" applyFont="1" applyBorder="1" applyAlignment="1">
      <alignment horizontal="center"/>
    </xf>
    <xf numFmtId="2" fontId="18" fillId="0" borderId="1" xfId="0" applyNumberFormat="1" applyFont="1" applyBorder="1"/>
    <xf numFmtId="2" fontId="23" fillId="0" borderId="0" xfId="0" applyNumberFormat="1" applyFont="1" applyAlignment="1">
      <alignment horizontal="left"/>
    </xf>
    <xf numFmtId="166" fontId="18" fillId="0" borderId="0" xfId="0" applyNumberFormat="1" applyFont="1"/>
    <xf numFmtId="166" fontId="24" fillId="0" borderId="0" xfId="0" applyNumberFormat="1" applyFont="1"/>
    <xf numFmtId="166" fontId="18" fillId="0" borderId="0" xfId="0" applyNumberFormat="1" applyFont="1" applyAlignment="1">
      <alignment horizontal="center"/>
    </xf>
    <xf numFmtId="166" fontId="14" fillId="0" borderId="0" xfId="0" applyNumberFormat="1" applyFont="1" applyAlignment="1">
      <alignment horizontal="center"/>
    </xf>
    <xf numFmtId="166" fontId="18" fillId="0" borderId="0" xfId="0" applyNumberFormat="1" applyFont="1" applyAlignment="1">
      <alignment horizontal="right"/>
    </xf>
    <xf numFmtId="0" fontId="1" fillId="15" borderId="0" xfId="0" applyFont="1" applyFill="1"/>
    <xf numFmtId="165" fontId="23" fillId="8" borderId="0" xfId="0" applyNumberFormat="1" applyFont="1" applyFill="1" applyAlignment="1">
      <alignment horizontal="center"/>
    </xf>
    <xf numFmtId="165" fontId="1" fillId="0" borderId="0" xfId="0" applyNumberFormat="1" applyFont="1" applyAlignment="1">
      <alignment horizontal="center"/>
    </xf>
    <xf numFmtId="165" fontId="23" fillId="13" borderId="0" xfId="0" applyNumberFormat="1" applyFont="1" applyFill="1" applyAlignment="1">
      <alignment horizontal="center"/>
    </xf>
    <xf numFmtId="2" fontId="23" fillId="8" borderId="0" xfId="0" applyNumberFormat="1" applyFont="1" applyFill="1" applyAlignment="1">
      <alignment horizontal="center"/>
    </xf>
    <xf numFmtId="2" fontId="23" fillId="13" borderId="0" xfId="0" applyNumberFormat="1" applyFont="1" applyFill="1" applyAlignment="1">
      <alignment horizontal="center"/>
    </xf>
    <xf numFmtId="2" fontId="19" fillId="13" borderId="0" xfId="0" applyNumberFormat="1" applyFont="1" applyFill="1" applyAlignment="1">
      <alignment horizontal="center"/>
    </xf>
    <xf numFmtId="2" fontId="15" fillId="9" borderId="0" xfId="0" applyNumberFormat="1" applyFont="1" applyFill="1" applyAlignment="1">
      <alignment horizontal="center"/>
    </xf>
    <xf numFmtId="164" fontId="16" fillId="9" borderId="0" xfId="0" applyNumberFormat="1" applyFont="1" applyFill="1" applyAlignment="1">
      <alignment horizontal="center"/>
    </xf>
    <xf numFmtId="2" fontId="0" fillId="0" borderId="0" xfId="0" applyNumberFormat="1"/>
    <xf numFmtId="2" fontId="6" fillId="0" borderId="0" xfId="0" applyNumberFormat="1" applyFont="1" applyAlignment="1">
      <alignment horizontal="center"/>
    </xf>
    <xf numFmtId="2" fontId="1" fillId="9" borderId="0" xfId="0" applyNumberFormat="1" applyFont="1" applyFill="1" applyAlignment="1">
      <alignment horizontal="center"/>
    </xf>
    <xf numFmtId="0" fontId="0" fillId="0" borderId="0" xfId="0" applyAlignment="1">
      <alignment horizontal="left"/>
    </xf>
    <xf numFmtId="169" fontId="0" fillId="0" borderId="0" xfId="0" applyNumberFormat="1" applyAlignment="1">
      <alignment horizontal="left"/>
    </xf>
    <xf numFmtId="169" fontId="25" fillId="0" borderId="0" xfId="0" applyNumberFormat="1" applyFont="1" applyAlignment="1">
      <alignment horizontal="left"/>
    </xf>
    <xf numFmtId="169" fontId="25" fillId="0" borderId="0" xfId="0" applyNumberFormat="1" applyFont="1" applyAlignment="1">
      <alignment horizontal="left" shrinkToFit="1"/>
    </xf>
    <xf numFmtId="0" fontId="1" fillId="0" borderId="0" xfId="0" applyFont="1" applyAlignment="1">
      <alignment horizontal="left"/>
    </xf>
    <xf numFmtId="2" fontId="17" fillId="13" borderId="0" xfId="0" applyNumberFormat="1" applyFont="1" applyFill="1" applyAlignment="1">
      <alignment horizontal="center"/>
    </xf>
    <xf numFmtId="2" fontId="17" fillId="8" borderId="0" xfId="0" applyNumberFormat="1" applyFont="1" applyFill="1" applyAlignment="1">
      <alignment horizontal="center"/>
    </xf>
    <xf numFmtId="1" fontId="1" fillId="0" borderId="0" xfId="0" applyNumberFormat="1" applyFont="1" applyAlignment="1">
      <alignment horizontal="right"/>
    </xf>
    <xf numFmtId="2" fontId="19" fillId="8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6350</xdr:colOff>
      <xdr:row>2</xdr:row>
      <xdr:rowOff>165100</xdr:rowOff>
    </xdr:from>
    <xdr:to>
      <xdr:col>21</xdr:col>
      <xdr:colOff>101600</xdr:colOff>
      <xdr:row>2</xdr:row>
      <xdr:rowOff>177800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AB884E8B-5344-471B-B5C4-EBFD2CEFFD58}"/>
            </a:ext>
          </a:extLst>
        </xdr:cNvPr>
        <xdr:cNvCxnSpPr/>
      </xdr:nvCxnSpPr>
      <xdr:spPr>
        <a:xfrm flipV="1">
          <a:off x="3422650" y="533400"/>
          <a:ext cx="9848850" cy="12700"/>
        </a:xfrm>
        <a:prstGeom prst="straightConnector1">
          <a:avLst/>
        </a:prstGeom>
        <a:ln w="38100"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692150</xdr:colOff>
      <xdr:row>4</xdr:row>
      <xdr:rowOff>31750</xdr:rowOff>
    </xdr:from>
    <xdr:to>
      <xdr:col>2</xdr:col>
      <xdr:colOff>692150</xdr:colOff>
      <xdr:row>5</xdr:row>
      <xdr:rowOff>133350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90FA346C-9F19-57E6-DEF9-64472997662D}"/>
            </a:ext>
          </a:extLst>
        </xdr:cNvPr>
        <xdr:cNvCxnSpPr/>
      </xdr:nvCxnSpPr>
      <xdr:spPr>
        <a:xfrm>
          <a:off x="1441450" y="781050"/>
          <a:ext cx="0" cy="28575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387DA0-E8FF-41C0-A318-3FE7F7B8C8E9}">
  <sheetPr>
    <tabColor theme="4" tint="0.39997558519241921"/>
  </sheetPr>
  <dimension ref="A1:CY113"/>
  <sheetViews>
    <sheetView tabSelected="1" workbookViewId="0">
      <selection activeCell="K2" sqref="K2"/>
    </sheetView>
  </sheetViews>
  <sheetFormatPr defaultRowHeight="12" x14ac:dyDescent="0.3"/>
  <cols>
    <col min="1" max="1" width="8.7265625" style="113"/>
    <col min="2" max="2" width="13.36328125" style="104" customWidth="1"/>
    <col min="3" max="3" width="15.6328125" style="105" customWidth="1"/>
    <col min="4" max="4" width="11.54296875" style="99" customWidth="1"/>
    <col min="5" max="7" width="8.7265625" style="99"/>
    <col min="8" max="8" width="10.453125" style="99" customWidth="1"/>
    <col min="9" max="12" width="8.7265625" style="99"/>
    <col min="13" max="13" width="8.26953125" style="99" customWidth="1"/>
    <col min="14" max="16" width="8.7265625" style="99"/>
    <col min="17" max="17" width="9" style="99" customWidth="1"/>
    <col min="18" max="25" width="8.7265625" style="99"/>
    <col min="26" max="31" width="8.7265625" style="63"/>
    <col min="32" max="44" width="8.7265625" style="99"/>
    <col min="45" max="45" width="9.6328125" style="99" customWidth="1"/>
    <col min="46" max="67" width="8.7265625" style="99"/>
    <col min="68" max="68" width="10.08984375" style="99" customWidth="1"/>
    <col min="69" max="69" width="8.7265625" style="99"/>
    <col min="70" max="70" width="12.26953125" style="99" customWidth="1"/>
    <col min="71" max="72" width="8.7265625" style="99"/>
    <col min="73" max="73" width="7.26953125" style="99" customWidth="1"/>
    <col min="74" max="16384" width="8.7265625" style="99"/>
  </cols>
  <sheetData>
    <row r="1" spans="1:31" x14ac:dyDescent="0.3">
      <c r="A1" s="97" t="s">
        <v>224</v>
      </c>
      <c r="B1" s="97"/>
      <c r="C1" s="97"/>
      <c r="D1" s="97"/>
      <c r="E1" s="97"/>
      <c r="F1" s="97"/>
      <c r="G1" s="97"/>
      <c r="H1" s="97"/>
      <c r="I1" s="97"/>
      <c r="J1" s="97"/>
      <c r="K1" s="97"/>
    </row>
    <row r="3" spans="1:31" x14ac:dyDescent="0.3">
      <c r="A3" s="63" t="s">
        <v>225</v>
      </c>
      <c r="D3" s="106"/>
      <c r="AE3" s="99"/>
    </row>
    <row r="4" spans="1:31" s="69" customFormat="1" x14ac:dyDescent="0.3">
      <c r="A4" s="104"/>
      <c r="B4" s="104" t="s">
        <v>223</v>
      </c>
      <c r="C4" s="122" t="s">
        <v>256</v>
      </c>
      <c r="D4" s="107" t="s">
        <v>215</v>
      </c>
      <c r="E4" s="108" t="s">
        <v>12</v>
      </c>
      <c r="F4" s="108" t="s">
        <v>3</v>
      </c>
      <c r="G4" s="108" t="s">
        <v>1</v>
      </c>
      <c r="H4" s="108" t="s">
        <v>6</v>
      </c>
      <c r="I4" s="108" t="s">
        <v>2</v>
      </c>
      <c r="J4" s="108" t="s">
        <v>5</v>
      </c>
      <c r="K4" s="108" t="s">
        <v>204</v>
      </c>
      <c r="L4" s="108" t="s">
        <v>9</v>
      </c>
      <c r="M4" s="108" t="s">
        <v>13</v>
      </c>
      <c r="N4" s="108" t="s">
        <v>17</v>
      </c>
      <c r="O4" s="108" t="s">
        <v>206</v>
      </c>
      <c r="P4" s="109" t="s">
        <v>10</v>
      </c>
      <c r="Q4" s="109" t="s">
        <v>4</v>
      </c>
      <c r="R4" s="109" t="s">
        <v>205</v>
      </c>
      <c r="S4" s="109" t="s">
        <v>14</v>
      </c>
      <c r="T4" s="109" t="s">
        <v>216</v>
      </c>
      <c r="U4" s="109" t="s">
        <v>217</v>
      </c>
      <c r="V4" s="110" t="s">
        <v>11</v>
      </c>
      <c r="W4" s="110" t="s">
        <v>16</v>
      </c>
      <c r="X4" s="111" t="s">
        <v>7</v>
      </c>
      <c r="Y4" s="112" t="s">
        <v>8</v>
      </c>
    </row>
    <row r="5" spans="1:31" x14ac:dyDescent="0.3">
      <c r="B5" s="104" t="s">
        <v>18</v>
      </c>
      <c r="C5" s="105">
        <f t="shared" ref="C5:C36" si="0">SUM(D5:AE5)</f>
        <v>71.207000000000008</v>
      </c>
      <c r="D5" s="114">
        <v>0</v>
      </c>
      <c r="E5" s="114">
        <v>13.23</v>
      </c>
      <c r="F5" s="114">
        <v>0.96</v>
      </c>
      <c r="G5" s="114">
        <v>0</v>
      </c>
      <c r="H5" s="114">
        <v>3.35</v>
      </c>
      <c r="I5" s="114">
        <v>0</v>
      </c>
      <c r="J5" s="114">
        <v>1.1200000000000001</v>
      </c>
      <c r="K5" s="114">
        <v>3.6999999999999998E-2</v>
      </c>
      <c r="L5" s="114">
        <v>4.84</v>
      </c>
      <c r="M5" s="114">
        <v>0</v>
      </c>
      <c r="N5" s="114">
        <v>0</v>
      </c>
      <c r="O5" s="114">
        <v>0</v>
      </c>
      <c r="P5" s="114">
        <v>0</v>
      </c>
      <c r="Q5" s="114">
        <v>0</v>
      </c>
      <c r="R5" s="114">
        <v>0</v>
      </c>
      <c r="S5" s="114">
        <v>40.909999999999997</v>
      </c>
      <c r="T5" s="114">
        <v>0</v>
      </c>
      <c r="U5" s="114">
        <v>0</v>
      </c>
      <c r="V5" s="114">
        <v>6.73</v>
      </c>
      <c r="W5" s="114">
        <v>0</v>
      </c>
      <c r="X5" s="114">
        <v>0</v>
      </c>
      <c r="Y5" s="114">
        <v>0.03</v>
      </c>
      <c r="AE5" s="99"/>
    </row>
    <row r="6" spans="1:31" x14ac:dyDescent="0.3">
      <c r="B6" s="104" t="s">
        <v>19</v>
      </c>
      <c r="C6" s="105">
        <f t="shared" si="0"/>
        <v>11.208</v>
      </c>
      <c r="D6" s="114">
        <v>0.38</v>
      </c>
      <c r="E6" s="114">
        <v>0</v>
      </c>
      <c r="F6" s="114">
        <v>0</v>
      </c>
      <c r="G6" s="114">
        <v>0</v>
      </c>
      <c r="H6" s="114">
        <v>1.63</v>
      </c>
      <c r="I6" s="114">
        <v>0</v>
      </c>
      <c r="J6" s="114">
        <v>0</v>
      </c>
      <c r="K6" s="114">
        <v>0</v>
      </c>
      <c r="L6" s="114">
        <v>0</v>
      </c>
      <c r="M6" s="114">
        <v>0</v>
      </c>
      <c r="N6" s="114">
        <v>0</v>
      </c>
      <c r="O6" s="114">
        <v>0</v>
      </c>
      <c r="P6" s="114">
        <v>0.49</v>
      </c>
      <c r="Q6" s="114">
        <v>3.028</v>
      </c>
      <c r="R6" s="114">
        <v>0</v>
      </c>
      <c r="S6" s="114">
        <v>0</v>
      </c>
      <c r="T6" s="114">
        <v>0</v>
      </c>
      <c r="U6" s="114">
        <v>0</v>
      </c>
      <c r="V6" s="114">
        <v>5</v>
      </c>
      <c r="W6" s="114">
        <v>0</v>
      </c>
      <c r="X6" s="114">
        <v>0.68</v>
      </c>
      <c r="Y6" s="114">
        <v>0</v>
      </c>
      <c r="AE6" s="99"/>
    </row>
    <row r="7" spans="1:31" x14ac:dyDescent="0.3">
      <c r="B7" s="104" t="s">
        <v>20</v>
      </c>
      <c r="C7" s="105">
        <f t="shared" si="0"/>
        <v>523.09999999999991</v>
      </c>
      <c r="D7" s="114">
        <v>0</v>
      </c>
      <c r="E7" s="114">
        <v>62.34</v>
      </c>
      <c r="F7" s="114">
        <v>193.78</v>
      </c>
      <c r="G7" s="114">
        <v>47.08</v>
      </c>
      <c r="H7" s="114">
        <v>69.42</v>
      </c>
      <c r="I7" s="114">
        <v>0</v>
      </c>
      <c r="J7" s="114">
        <v>105.68</v>
      </c>
      <c r="K7" s="114">
        <v>0</v>
      </c>
      <c r="L7" s="114">
        <v>0</v>
      </c>
      <c r="M7" s="114">
        <v>0</v>
      </c>
      <c r="N7" s="114">
        <v>3.33</v>
      </c>
      <c r="O7" s="114">
        <v>0</v>
      </c>
      <c r="P7" s="114">
        <v>24.7</v>
      </c>
      <c r="Q7" s="114">
        <v>6.36</v>
      </c>
      <c r="R7" s="114">
        <v>6.75</v>
      </c>
      <c r="S7" s="114">
        <v>0</v>
      </c>
      <c r="T7" s="114">
        <v>0</v>
      </c>
      <c r="U7" s="114">
        <v>0</v>
      </c>
      <c r="V7" s="114">
        <v>3.66</v>
      </c>
      <c r="W7" s="114">
        <v>0</v>
      </c>
      <c r="X7" s="114">
        <v>0</v>
      </c>
      <c r="Y7" s="114">
        <v>0</v>
      </c>
      <c r="AE7" s="99"/>
    </row>
    <row r="8" spans="1:31" x14ac:dyDescent="0.3">
      <c r="B8" s="104" t="s">
        <v>21</v>
      </c>
      <c r="C8" s="105">
        <f t="shared" si="0"/>
        <v>524.7399999999999</v>
      </c>
      <c r="D8" s="114">
        <v>5.9</v>
      </c>
      <c r="E8" s="114">
        <v>330.37</v>
      </c>
      <c r="F8" s="114">
        <v>11.39</v>
      </c>
      <c r="G8" s="114">
        <v>0</v>
      </c>
      <c r="H8" s="114">
        <v>23.98</v>
      </c>
      <c r="I8" s="114">
        <v>0</v>
      </c>
      <c r="J8" s="114">
        <v>103.33</v>
      </c>
      <c r="K8" s="114">
        <v>12.61</v>
      </c>
      <c r="L8" s="114">
        <v>21.78</v>
      </c>
      <c r="M8" s="114">
        <v>6</v>
      </c>
      <c r="N8" s="114">
        <v>0</v>
      </c>
      <c r="O8" s="114">
        <v>0</v>
      </c>
      <c r="P8" s="114">
        <v>1.74</v>
      </c>
      <c r="Q8" s="114">
        <v>1.86</v>
      </c>
      <c r="R8" s="114">
        <v>0.54</v>
      </c>
      <c r="S8" s="114">
        <v>0.39</v>
      </c>
      <c r="T8" s="114">
        <v>0</v>
      </c>
      <c r="U8" s="114">
        <v>0</v>
      </c>
      <c r="V8" s="114">
        <v>4.0599999999999996</v>
      </c>
      <c r="W8" s="114">
        <v>0</v>
      </c>
      <c r="X8" s="114">
        <v>0.79</v>
      </c>
      <c r="Y8" s="114">
        <v>0</v>
      </c>
      <c r="AE8" s="99"/>
    </row>
    <row r="9" spans="1:31" x14ac:dyDescent="0.3">
      <c r="B9" s="104" t="s">
        <v>22</v>
      </c>
      <c r="C9" s="105">
        <f t="shared" si="0"/>
        <v>10.743</v>
      </c>
      <c r="D9" s="114">
        <v>0</v>
      </c>
      <c r="E9" s="114">
        <v>2.57</v>
      </c>
      <c r="F9" s="114">
        <v>0</v>
      </c>
      <c r="G9" s="114">
        <v>0</v>
      </c>
      <c r="H9" s="114">
        <v>0</v>
      </c>
      <c r="I9" s="114">
        <v>0</v>
      </c>
      <c r="J9" s="114">
        <v>0</v>
      </c>
      <c r="K9" s="114">
        <v>0</v>
      </c>
      <c r="L9" s="114">
        <v>0</v>
      </c>
      <c r="M9" s="114">
        <v>0</v>
      </c>
      <c r="N9" s="114">
        <v>0</v>
      </c>
      <c r="O9" s="114">
        <v>0</v>
      </c>
      <c r="P9" s="114">
        <v>1.1299999999999999</v>
      </c>
      <c r="Q9" s="114">
        <v>0</v>
      </c>
      <c r="R9" s="114">
        <v>1.2999999999999999E-2</v>
      </c>
      <c r="S9" s="114">
        <v>0</v>
      </c>
      <c r="T9" s="114">
        <v>0</v>
      </c>
      <c r="U9" s="114">
        <v>0</v>
      </c>
      <c r="V9" s="114">
        <v>7.03</v>
      </c>
      <c r="W9" s="114">
        <v>0</v>
      </c>
      <c r="X9" s="114">
        <v>0</v>
      </c>
      <c r="Y9" s="114">
        <v>0</v>
      </c>
      <c r="AE9" s="99"/>
    </row>
    <row r="10" spans="1:31" x14ac:dyDescent="0.3">
      <c r="B10" s="104" t="s">
        <v>207</v>
      </c>
      <c r="C10" s="105">
        <f t="shared" si="0"/>
        <v>18.97</v>
      </c>
      <c r="D10" s="114">
        <v>0</v>
      </c>
      <c r="E10" s="114">
        <v>9.5500000000000007</v>
      </c>
      <c r="F10" s="114">
        <v>0</v>
      </c>
      <c r="G10" s="114">
        <v>0</v>
      </c>
      <c r="H10" s="114">
        <v>5.79</v>
      </c>
      <c r="I10" s="114">
        <v>0</v>
      </c>
      <c r="J10" s="114">
        <v>0</v>
      </c>
      <c r="K10" s="114">
        <v>0</v>
      </c>
      <c r="L10" s="114">
        <v>0</v>
      </c>
      <c r="M10" s="114">
        <v>0</v>
      </c>
      <c r="N10" s="114">
        <v>0</v>
      </c>
      <c r="O10" s="114">
        <v>0</v>
      </c>
      <c r="P10" s="114">
        <v>0</v>
      </c>
      <c r="Q10" s="114">
        <v>0</v>
      </c>
      <c r="R10" s="114">
        <v>0</v>
      </c>
      <c r="S10" s="114">
        <v>0</v>
      </c>
      <c r="T10" s="114">
        <v>0</v>
      </c>
      <c r="U10" s="114">
        <v>0</v>
      </c>
      <c r="V10" s="114">
        <v>3.63</v>
      </c>
      <c r="W10" s="114">
        <v>0</v>
      </c>
      <c r="X10" s="114">
        <v>0</v>
      </c>
      <c r="Y10" s="114">
        <v>0</v>
      </c>
      <c r="AE10" s="99"/>
    </row>
    <row r="11" spans="1:31" x14ac:dyDescent="0.3">
      <c r="B11" s="104" t="s">
        <v>23</v>
      </c>
      <c r="C11" s="105">
        <f t="shared" si="0"/>
        <v>4.63</v>
      </c>
      <c r="D11" s="114">
        <v>0</v>
      </c>
      <c r="E11" s="114">
        <v>1.58</v>
      </c>
      <c r="F11" s="114">
        <v>0</v>
      </c>
      <c r="G11" s="114">
        <v>0</v>
      </c>
      <c r="H11" s="114">
        <v>0</v>
      </c>
      <c r="I11" s="114">
        <v>0</v>
      </c>
      <c r="J11" s="114">
        <v>0</v>
      </c>
      <c r="K11" s="114">
        <v>0</v>
      </c>
      <c r="L11" s="114">
        <v>0</v>
      </c>
      <c r="M11" s="114">
        <v>0</v>
      </c>
      <c r="N11" s="114">
        <v>0</v>
      </c>
      <c r="O11" s="114">
        <v>0</v>
      </c>
      <c r="P11" s="114">
        <v>0</v>
      </c>
      <c r="Q11" s="114">
        <v>0</v>
      </c>
      <c r="R11" s="114">
        <v>0</v>
      </c>
      <c r="S11" s="114">
        <v>0</v>
      </c>
      <c r="T11" s="114">
        <v>0</v>
      </c>
      <c r="U11" s="114">
        <v>0</v>
      </c>
      <c r="V11" s="114">
        <v>3.05</v>
      </c>
      <c r="W11" s="114">
        <v>0</v>
      </c>
      <c r="X11" s="114">
        <v>0</v>
      </c>
      <c r="Y11" s="114">
        <v>0</v>
      </c>
      <c r="AE11" s="99"/>
    </row>
    <row r="12" spans="1:31" x14ac:dyDescent="0.3">
      <c r="B12" s="104" t="s">
        <v>24</v>
      </c>
      <c r="C12" s="105">
        <f t="shared" si="0"/>
        <v>18.614000000000001</v>
      </c>
      <c r="D12" s="114">
        <v>0</v>
      </c>
      <c r="E12" s="114">
        <v>18.59</v>
      </c>
      <c r="F12" s="114">
        <v>0</v>
      </c>
      <c r="G12" s="114">
        <v>0</v>
      </c>
      <c r="H12" s="114">
        <v>0</v>
      </c>
      <c r="I12" s="114">
        <v>0</v>
      </c>
      <c r="J12" s="114">
        <v>0</v>
      </c>
      <c r="K12" s="114">
        <v>0</v>
      </c>
      <c r="L12" s="114">
        <v>0</v>
      </c>
      <c r="M12" s="114">
        <v>0</v>
      </c>
      <c r="N12" s="114">
        <v>0</v>
      </c>
      <c r="O12" s="114">
        <v>0</v>
      </c>
      <c r="P12" s="114">
        <v>0</v>
      </c>
      <c r="Q12" s="114">
        <v>0</v>
      </c>
      <c r="R12" s="114">
        <v>0</v>
      </c>
      <c r="S12" s="114">
        <v>0</v>
      </c>
      <c r="T12" s="114">
        <v>0</v>
      </c>
      <c r="U12" s="114">
        <v>0</v>
      </c>
      <c r="V12" s="114">
        <v>0</v>
      </c>
      <c r="W12" s="114">
        <v>0</v>
      </c>
      <c r="X12" s="114">
        <v>2.4E-2</v>
      </c>
      <c r="Y12" s="114">
        <v>0</v>
      </c>
      <c r="AE12" s="99"/>
    </row>
    <row r="13" spans="1:31" x14ac:dyDescent="0.3">
      <c r="B13" s="104" t="s">
        <v>25</v>
      </c>
      <c r="C13" s="105">
        <f t="shared" si="0"/>
        <v>1021.71</v>
      </c>
      <c r="D13" s="114">
        <v>0.87</v>
      </c>
      <c r="E13" s="114">
        <v>22.58</v>
      </c>
      <c r="F13" s="114">
        <v>229.04</v>
      </c>
      <c r="G13" s="114">
        <v>15.46</v>
      </c>
      <c r="H13" s="114">
        <v>99.09</v>
      </c>
      <c r="I13" s="114">
        <v>0</v>
      </c>
      <c r="J13" s="114">
        <v>164.08</v>
      </c>
      <c r="K13" s="114">
        <v>0</v>
      </c>
      <c r="L13" s="114">
        <v>5.98</v>
      </c>
      <c r="M13" s="114">
        <v>0</v>
      </c>
      <c r="N13" s="114">
        <v>3.37</v>
      </c>
      <c r="O13" s="114">
        <v>3.06</v>
      </c>
      <c r="P13" s="114">
        <v>30.91</v>
      </c>
      <c r="Q13" s="114">
        <v>9.64</v>
      </c>
      <c r="R13" s="114">
        <v>2.2200000000000002</v>
      </c>
      <c r="S13" s="114">
        <v>128.44999999999999</v>
      </c>
      <c r="T13" s="114">
        <v>3.37</v>
      </c>
      <c r="U13" s="114">
        <v>0</v>
      </c>
      <c r="V13" s="114">
        <v>4.6100000000000003</v>
      </c>
      <c r="W13" s="114">
        <v>0</v>
      </c>
      <c r="X13" s="114">
        <v>14.32</v>
      </c>
      <c r="Y13" s="114">
        <v>284.66000000000003</v>
      </c>
      <c r="AE13" s="99"/>
    </row>
    <row r="14" spans="1:31" x14ac:dyDescent="0.3">
      <c r="B14" s="104" t="s">
        <v>26</v>
      </c>
      <c r="C14" s="105">
        <f t="shared" si="0"/>
        <v>35.029999999999994</v>
      </c>
      <c r="D14" s="114">
        <v>0</v>
      </c>
      <c r="E14" s="114">
        <v>8.3699999999999992</v>
      </c>
      <c r="F14" s="114">
        <v>4.62</v>
      </c>
      <c r="G14" s="114">
        <v>0</v>
      </c>
      <c r="H14" s="114">
        <v>2.0299999999999998</v>
      </c>
      <c r="I14" s="114">
        <v>0</v>
      </c>
      <c r="J14" s="114">
        <v>10.11</v>
      </c>
      <c r="K14" s="114">
        <v>0</v>
      </c>
      <c r="L14" s="114">
        <v>0</v>
      </c>
      <c r="M14" s="114">
        <v>0</v>
      </c>
      <c r="N14" s="114">
        <v>0</v>
      </c>
      <c r="O14" s="114">
        <v>0</v>
      </c>
      <c r="P14" s="114">
        <v>0</v>
      </c>
      <c r="Q14" s="114">
        <v>0</v>
      </c>
      <c r="R14" s="114">
        <v>0</v>
      </c>
      <c r="S14" s="114">
        <v>0</v>
      </c>
      <c r="T14" s="114">
        <v>0</v>
      </c>
      <c r="U14" s="114">
        <v>0</v>
      </c>
      <c r="V14" s="114">
        <v>9.9</v>
      </c>
      <c r="W14" s="114">
        <v>0</v>
      </c>
      <c r="X14" s="114">
        <v>0</v>
      </c>
      <c r="Y14" s="114">
        <v>0</v>
      </c>
      <c r="AE14" s="99"/>
    </row>
    <row r="15" spans="1:31" x14ac:dyDescent="0.3">
      <c r="B15" s="104" t="s">
        <v>27</v>
      </c>
      <c r="C15" s="105">
        <f t="shared" si="0"/>
        <v>61.739999999999995</v>
      </c>
      <c r="D15" s="114">
        <v>0</v>
      </c>
      <c r="E15" s="114">
        <v>31.54</v>
      </c>
      <c r="F15" s="114">
        <v>10.86</v>
      </c>
      <c r="G15" s="114">
        <v>0</v>
      </c>
      <c r="H15" s="114">
        <v>1.86</v>
      </c>
      <c r="I15" s="114">
        <v>0</v>
      </c>
      <c r="J15" s="114">
        <v>10.7</v>
      </c>
      <c r="K15" s="114">
        <v>0</v>
      </c>
      <c r="L15" s="114">
        <v>0</v>
      </c>
      <c r="M15" s="114">
        <v>0</v>
      </c>
      <c r="N15" s="114">
        <v>0</v>
      </c>
      <c r="O15" s="114">
        <v>0</v>
      </c>
      <c r="P15" s="114">
        <v>0.51</v>
      </c>
      <c r="Q15" s="114">
        <v>0</v>
      </c>
      <c r="R15" s="114">
        <v>0</v>
      </c>
      <c r="S15" s="114">
        <v>2.11</v>
      </c>
      <c r="T15" s="114">
        <v>0</v>
      </c>
      <c r="U15" s="114">
        <v>0</v>
      </c>
      <c r="V15" s="114">
        <v>4.16</v>
      </c>
      <c r="W15" s="114">
        <v>0</v>
      </c>
      <c r="X15" s="114">
        <v>0</v>
      </c>
      <c r="Y15" s="114">
        <v>0</v>
      </c>
      <c r="AE15" s="99"/>
    </row>
    <row r="16" spans="1:31" x14ac:dyDescent="0.3">
      <c r="B16" s="104" t="s">
        <v>208</v>
      </c>
      <c r="C16" s="105">
        <f t="shared" si="0"/>
        <v>21.369999999999997</v>
      </c>
      <c r="D16" s="114">
        <v>0</v>
      </c>
      <c r="E16" s="114">
        <v>0</v>
      </c>
      <c r="F16" s="114">
        <v>0</v>
      </c>
      <c r="G16" s="114">
        <v>0</v>
      </c>
      <c r="H16" s="114">
        <v>0</v>
      </c>
      <c r="I16" s="114">
        <v>0</v>
      </c>
      <c r="J16" s="114">
        <v>0</v>
      </c>
      <c r="K16" s="114">
        <v>0</v>
      </c>
      <c r="L16" s="114">
        <v>0</v>
      </c>
      <c r="M16" s="114">
        <v>0</v>
      </c>
      <c r="N16" s="114">
        <v>0</v>
      </c>
      <c r="O16" s="114">
        <v>0</v>
      </c>
      <c r="P16" s="114">
        <v>0</v>
      </c>
      <c r="Q16" s="114">
        <v>0</v>
      </c>
      <c r="R16" s="114">
        <v>0</v>
      </c>
      <c r="S16" s="114">
        <v>0</v>
      </c>
      <c r="T16" s="114">
        <v>0</v>
      </c>
      <c r="U16" s="114">
        <v>0</v>
      </c>
      <c r="V16" s="114">
        <v>19.79</v>
      </c>
      <c r="W16" s="114">
        <v>0</v>
      </c>
      <c r="X16" s="114">
        <v>1.58</v>
      </c>
      <c r="Y16" s="114">
        <v>0</v>
      </c>
      <c r="AE16" s="99"/>
    </row>
    <row r="17" spans="2:31" x14ac:dyDescent="0.3">
      <c r="B17" s="104" t="s">
        <v>28</v>
      </c>
      <c r="C17" s="105">
        <f t="shared" si="0"/>
        <v>94.27</v>
      </c>
      <c r="D17" s="114">
        <v>0</v>
      </c>
      <c r="E17" s="114">
        <v>8.7200000000000006</v>
      </c>
      <c r="F17" s="114">
        <v>14.12</v>
      </c>
      <c r="G17" s="114">
        <v>0</v>
      </c>
      <c r="H17" s="114">
        <v>23.97</v>
      </c>
      <c r="I17" s="114">
        <v>0</v>
      </c>
      <c r="J17" s="114">
        <v>26.39</v>
      </c>
      <c r="K17" s="114">
        <v>0</v>
      </c>
      <c r="L17" s="114">
        <v>19.8</v>
      </c>
      <c r="M17" s="114">
        <v>0</v>
      </c>
      <c r="N17" s="114">
        <v>0</v>
      </c>
      <c r="O17" s="114">
        <v>0</v>
      </c>
      <c r="P17" s="114">
        <v>1.27</v>
      </c>
      <c r="Q17" s="114">
        <v>0</v>
      </c>
      <c r="R17" s="114">
        <v>0</v>
      </c>
      <c r="S17" s="114">
        <v>0</v>
      </c>
      <c r="T17" s="114">
        <v>0</v>
      </c>
      <c r="U17" s="114">
        <v>0</v>
      </c>
      <c r="V17" s="114">
        <v>0</v>
      </c>
      <c r="W17" s="114">
        <v>0</v>
      </c>
      <c r="X17" s="114">
        <v>0</v>
      </c>
      <c r="Y17" s="114">
        <v>0</v>
      </c>
      <c r="AE17" s="99"/>
    </row>
    <row r="18" spans="2:31" x14ac:dyDescent="0.3">
      <c r="B18" s="104" t="s">
        <v>29</v>
      </c>
      <c r="C18" s="105">
        <f t="shared" si="0"/>
        <v>382.20599999999996</v>
      </c>
      <c r="D18" s="114">
        <v>0</v>
      </c>
      <c r="E18" s="114">
        <v>123.94</v>
      </c>
      <c r="F18" s="114">
        <v>37.53</v>
      </c>
      <c r="G18" s="114">
        <v>0</v>
      </c>
      <c r="H18" s="114">
        <v>48.72</v>
      </c>
      <c r="I18" s="114">
        <v>0</v>
      </c>
      <c r="J18" s="114">
        <v>28.9</v>
      </c>
      <c r="K18" s="114">
        <v>2.95</v>
      </c>
      <c r="L18" s="114">
        <v>57.11</v>
      </c>
      <c r="M18" s="114">
        <v>71.739999999999995</v>
      </c>
      <c r="N18" s="114">
        <v>0</v>
      </c>
      <c r="O18" s="114">
        <v>0</v>
      </c>
      <c r="P18" s="114">
        <v>0.65</v>
      </c>
      <c r="Q18" s="114">
        <v>0.32600000000000001</v>
      </c>
      <c r="R18" s="114">
        <v>0</v>
      </c>
      <c r="S18" s="114">
        <v>6.01</v>
      </c>
      <c r="T18" s="114">
        <v>0</v>
      </c>
      <c r="U18" s="114">
        <v>0</v>
      </c>
      <c r="V18" s="114">
        <v>4.33</v>
      </c>
      <c r="W18" s="114">
        <v>0</v>
      </c>
      <c r="X18" s="114">
        <v>0</v>
      </c>
      <c r="Y18" s="114">
        <v>0</v>
      </c>
      <c r="AE18" s="99"/>
    </row>
    <row r="19" spans="2:31" x14ac:dyDescent="0.3">
      <c r="B19" s="104" t="s">
        <v>30</v>
      </c>
      <c r="C19" s="105">
        <f t="shared" si="0"/>
        <v>10.77</v>
      </c>
      <c r="D19" s="114">
        <v>0</v>
      </c>
      <c r="E19" s="114">
        <v>2.41</v>
      </c>
      <c r="F19" s="114">
        <v>0</v>
      </c>
      <c r="G19" s="114">
        <v>0</v>
      </c>
      <c r="H19" s="114">
        <v>0</v>
      </c>
      <c r="I19" s="114">
        <v>0</v>
      </c>
      <c r="J19" s="114">
        <v>0</v>
      </c>
      <c r="K19" s="114">
        <v>0</v>
      </c>
      <c r="L19" s="114">
        <v>0</v>
      </c>
      <c r="M19" s="114">
        <v>0</v>
      </c>
      <c r="N19" s="114">
        <v>0</v>
      </c>
      <c r="O19" s="114">
        <v>0</v>
      </c>
      <c r="P19" s="114">
        <v>0</v>
      </c>
      <c r="Q19" s="114">
        <v>0</v>
      </c>
      <c r="R19" s="114">
        <v>0</v>
      </c>
      <c r="S19" s="114">
        <v>0</v>
      </c>
      <c r="T19" s="114">
        <v>0</v>
      </c>
      <c r="U19" s="114">
        <v>0</v>
      </c>
      <c r="V19" s="114">
        <v>8.36</v>
      </c>
      <c r="W19" s="114">
        <v>0</v>
      </c>
      <c r="X19" s="114">
        <v>0</v>
      </c>
      <c r="Y19" s="114">
        <v>0</v>
      </c>
      <c r="AE19" s="99"/>
    </row>
    <row r="20" spans="2:31" x14ac:dyDescent="0.3">
      <c r="B20" s="104" t="s">
        <v>31</v>
      </c>
      <c r="C20" s="105">
        <f t="shared" si="0"/>
        <v>47.730000000000004</v>
      </c>
      <c r="D20" s="114">
        <v>0</v>
      </c>
      <c r="E20" s="114">
        <v>38.03</v>
      </c>
      <c r="F20" s="114">
        <v>0</v>
      </c>
      <c r="G20" s="114">
        <v>0</v>
      </c>
      <c r="H20" s="114">
        <v>0</v>
      </c>
      <c r="I20" s="114">
        <v>0</v>
      </c>
      <c r="J20" s="114">
        <v>3.29</v>
      </c>
      <c r="K20" s="114">
        <v>0</v>
      </c>
      <c r="L20" s="114">
        <v>0</v>
      </c>
      <c r="M20" s="114">
        <v>0</v>
      </c>
      <c r="N20" s="114">
        <v>0</v>
      </c>
      <c r="O20" s="114">
        <v>0</v>
      </c>
      <c r="P20" s="114">
        <v>0</v>
      </c>
      <c r="Q20" s="114">
        <v>0</v>
      </c>
      <c r="R20" s="114">
        <v>0</v>
      </c>
      <c r="S20" s="114">
        <v>0</v>
      </c>
      <c r="T20" s="114">
        <v>0</v>
      </c>
      <c r="U20" s="114">
        <v>0</v>
      </c>
      <c r="V20" s="114">
        <v>6.41</v>
      </c>
      <c r="W20" s="114">
        <v>0</v>
      </c>
      <c r="X20" s="114">
        <v>0</v>
      </c>
      <c r="Y20" s="114">
        <v>0</v>
      </c>
      <c r="AE20" s="99"/>
    </row>
    <row r="21" spans="2:31" x14ac:dyDescent="0.3">
      <c r="B21" s="104" t="s">
        <v>32</v>
      </c>
      <c r="C21" s="105">
        <f t="shared" si="0"/>
        <v>15.99</v>
      </c>
      <c r="D21" s="114">
        <v>0</v>
      </c>
      <c r="E21" s="114">
        <v>4.8</v>
      </c>
      <c r="F21" s="114">
        <v>0</v>
      </c>
      <c r="G21" s="114">
        <v>0</v>
      </c>
      <c r="H21" s="114">
        <v>7.46</v>
      </c>
      <c r="I21" s="114">
        <v>0</v>
      </c>
      <c r="J21" s="114">
        <v>0.83</v>
      </c>
      <c r="K21" s="114">
        <v>0</v>
      </c>
      <c r="L21" s="114">
        <v>0.47</v>
      </c>
      <c r="M21" s="114">
        <v>0</v>
      </c>
      <c r="N21" s="114">
        <v>0</v>
      </c>
      <c r="O21" s="114">
        <v>0</v>
      </c>
      <c r="P21" s="114">
        <v>0</v>
      </c>
      <c r="Q21" s="114">
        <v>0</v>
      </c>
      <c r="R21" s="114">
        <v>0</v>
      </c>
      <c r="S21" s="114">
        <v>0</v>
      </c>
      <c r="T21" s="114">
        <v>0</v>
      </c>
      <c r="U21" s="114">
        <v>0</v>
      </c>
      <c r="V21" s="114">
        <v>2.4300000000000002</v>
      </c>
      <c r="W21" s="114">
        <v>0</v>
      </c>
      <c r="X21" s="114">
        <v>0</v>
      </c>
      <c r="Y21" s="114">
        <v>0</v>
      </c>
      <c r="AE21" s="99"/>
    </row>
    <row r="22" spans="2:31" x14ac:dyDescent="0.3">
      <c r="B22" s="104" t="s">
        <v>33</v>
      </c>
      <c r="C22" s="105">
        <f t="shared" si="0"/>
        <v>143.56156185411416</v>
      </c>
      <c r="D22" s="114">
        <v>0</v>
      </c>
      <c r="E22" s="114">
        <v>1.8956758762785695</v>
      </c>
      <c r="F22" s="114">
        <v>5.3504914014099096</v>
      </c>
      <c r="G22" s="114">
        <v>6.791224239928038</v>
      </c>
      <c r="H22" s="114">
        <v>0</v>
      </c>
      <c r="I22" s="114">
        <v>13.821841806463134</v>
      </c>
      <c r="J22" s="114">
        <v>0</v>
      </c>
      <c r="K22" s="114">
        <v>0</v>
      </c>
      <c r="L22" s="114">
        <v>0</v>
      </c>
      <c r="M22" s="114">
        <v>0</v>
      </c>
      <c r="N22" s="114">
        <v>0</v>
      </c>
      <c r="O22" s="114">
        <v>0</v>
      </c>
      <c r="P22" s="114">
        <v>0.47281747759917403</v>
      </c>
      <c r="Q22" s="114">
        <v>0</v>
      </c>
      <c r="R22" s="114">
        <v>1.0807884119638334E-2</v>
      </c>
      <c r="S22" s="114">
        <v>0</v>
      </c>
      <c r="T22" s="114">
        <v>0</v>
      </c>
      <c r="U22" s="114">
        <v>0</v>
      </c>
      <c r="V22" s="114">
        <v>0</v>
      </c>
      <c r="W22" s="114">
        <v>0</v>
      </c>
      <c r="X22" s="114">
        <v>115.21870316831568</v>
      </c>
      <c r="Y22" s="114">
        <v>0</v>
      </c>
      <c r="AE22" s="99"/>
    </row>
    <row r="23" spans="2:31" x14ac:dyDescent="0.3">
      <c r="B23" s="104" t="s">
        <v>34</v>
      </c>
      <c r="C23" s="105">
        <f t="shared" si="0"/>
        <v>118.52000000000001</v>
      </c>
      <c r="D23" s="114">
        <v>0</v>
      </c>
      <c r="E23" s="114">
        <v>26.35</v>
      </c>
      <c r="F23" s="114">
        <v>10.1</v>
      </c>
      <c r="G23" s="114">
        <v>0</v>
      </c>
      <c r="H23" s="114">
        <v>20.079999999999998</v>
      </c>
      <c r="I23" s="114">
        <v>0</v>
      </c>
      <c r="J23" s="114">
        <v>42.67</v>
      </c>
      <c r="K23" s="114">
        <v>0</v>
      </c>
      <c r="L23" s="114">
        <v>5.17</v>
      </c>
      <c r="M23" s="114">
        <v>0</v>
      </c>
      <c r="N23" s="114">
        <v>0</v>
      </c>
      <c r="O23" s="114">
        <v>0</v>
      </c>
      <c r="P23" s="114">
        <v>0.04</v>
      </c>
      <c r="Q23" s="114">
        <v>0</v>
      </c>
      <c r="R23" s="114">
        <v>0</v>
      </c>
      <c r="S23" s="114">
        <v>0</v>
      </c>
      <c r="T23" s="114">
        <v>0</v>
      </c>
      <c r="U23" s="114">
        <v>0</v>
      </c>
      <c r="V23" s="114">
        <v>13.06</v>
      </c>
      <c r="W23" s="114">
        <v>0</v>
      </c>
      <c r="X23" s="114">
        <v>1.05</v>
      </c>
      <c r="Y23" s="114">
        <v>0</v>
      </c>
      <c r="AE23" s="99"/>
    </row>
    <row r="24" spans="2:31" x14ac:dyDescent="0.3">
      <c r="B24" s="104" t="s">
        <v>35</v>
      </c>
      <c r="C24" s="105">
        <f t="shared" si="0"/>
        <v>36.97</v>
      </c>
      <c r="D24" s="114">
        <v>0</v>
      </c>
      <c r="E24" s="114">
        <v>17.86</v>
      </c>
      <c r="F24" s="114">
        <v>0</v>
      </c>
      <c r="G24" s="114">
        <v>0</v>
      </c>
      <c r="H24" s="114">
        <v>0</v>
      </c>
      <c r="I24" s="114">
        <v>0</v>
      </c>
      <c r="J24" s="114">
        <v>0</v>
      </c>
      <c r="K24" s="114">
        <v>0</v>
      </c>
      <c r="L24" s="114">
        <v>0</v>
      </c>
      <c r="M24" s="114">
        <v>0</v>
      </c>
      <c r="N24" s="114">
        <v>0</v>
      </c>
      <c r="O24" s="114">
        <v>0</v>
      </c>
      <c r="P24" s="114">
        <v>0</v>
      </c>
      <c r="Q24" s="114">
        <v>0</v>
      </c>
      <c r="R24" s="114">
        <v>0</v>
      </c>
      <c r="S24" s="114">
        <v>0</v>
      </c>
      <c r="T24" s="114">
        <v>0</v>
      </c>
      <c r="U24" s="114">
        <v>0</v>
      </c>
      <c r="V24" s="114">
        <v>17.75</v>
      </c>
      <c r="W24" s="114">
        <v>0</v>
      </c>
      <c r="X24" s="114">
        <v>1.36</v>
      </c>
      <c r="Y24" s="114">
        <v>0</v>
      </c>
      <c r="AE24" s="99"/>
    </row>
    <row r="25" spans="2:31" x14ac:dyDescent="0.3">
      <c r="B25" s="104" t="s">
        <v>36</v>
      </c>
      <c r="C25" s="105">
        <f t="shared" si="0"/>
        <v>98.710000000000022</v>
      </c>
      <c r="D25" s="114">
        <v>0</v>
      </c>
      <c r="E25" s="114">
        <v>30.4</v>
      </c>
      <c r="F25" s="114">
        <v>14.1</v>
      </c>
      <c r="G25" s="114">
        <v>0</v>
      </c>
      <c r="H25" s="114">
        <v>7.7</v>
      </c>
      <c r="I25" s="114">
        <v>0</v>
      </c>
      <c r="J25" s="114">
        <v>26.04</v>
      </c>
      <c r="K25" s="114">
        <v>0</v>
      </c>
      <c r="L25" s="114">
        <v>0.15</v>
      </c>
      <c r="M25" s="114">
        <v>0</v>
      </c>
      <c r="N25" s="114">
        <v>0</v>
      </c>
      <c r="O25" s="114">
        <v>0</v>
      </c>
      <c r="P25" s="114">
        <v>5.54</v>
      </c>
      <c r="Q25" s="114">
        <v>3.16</v>
      </c>
      <c r="R25" s="114">
        <v>0.67</v>
      </c>
      <c r="S25" s="114">
        <v>1.79</v>
      </c>
      <c r="T25" s="114">
        <v>0</v>
      </c>
      <c r="U25" s="114">
        <v>0</v>
      </c>
      <c r="V25" s="114">
        <v>8.19</v>
      </c>
      <c r="W25" s="114">
        <v>0</v>
      </c>
      <c r="X25" s="114">
        <v>0.97</v>
      </c>
      <c r="Y25" s="114">
        <v>0</v>
      </c>
      <c r="AE25" s="99"/>
    </row>
    <row r="26" spans="2:31" x14ac:dyDescent="0.3">
      <c r="B26" s="104" t="s">
        <v>209</v>
      </c>
      <c r="C26" s="105">
        <f t="shared" si="0"/>
        <v>15.6</v>
      </c>
      <c r="D26" s="114">
        <v>0</v>
      </c>
      <c r="E26" s="114">
        <v>0</v>
      </c>
      <c r="F26" s="114">
        <v>0</v>
      </c>
      <c r="G26" s="114">
        <v>0</v>
      </c>
      <c r="H26" s="114">
        <v>0</v>
      </c>
      <c r="I26" s="114">
        <v>0</v>
      </c>
      <c r="J26" s="114">
        <v>0</v>
      </c>
      <c r="K26" s="114">
        <v>0</v>
      </c>
      <c r="L26" s="114">
        <v>0</v>
      </c>
      <c r="M26" s="114">
        <v>0</v>
      </c>
      <c r="N26" s="114">
        <v>0</v>
      </c>
      <c r="O26" s="114">
        <v>0</v>
      </c>
      <c r="P26" s="114">
        <v>0</v>
      </c>
      <c r="Q26" s="114">
        <v>0</v>
      </c>
      <c r="R26" s="114">
        <v>0</v>
      </c>
      <c r="S26" s="114">
        <v>0</v>
      </c>
      <c r="T26" s="114">
        <v>0</v>
      </c>
      <c r="U26" s="114">
        <v>0</v>
      </c>
      <c r="V26" s="114">
        <v>14.98</v>
      </c>
      <c r="W26" s="114">
        <v>0</v>
      </c>
      <c r="X26" s="114">
        <v>0.62</v>
      </c>
      <c r="Y26" s="114">
        <v>0</v>
      </c>
      <c r="AE26" s="99"/>
    </row>
    <row r="27" spans="2:31" x14ac:dyDescent="0.3">
      <c r="B27" s="104" t="s">
        <v>37</v>
      </c>
      <c r="C27" s="105">
        <f t="shared" si="0"/>
        <v>52.37</v>
      </c>
      <c r="D27" s="114">
        <v>0</v>
      </c>
      <c r="E27" s="114">
        <v>16.14</v>
      </c>
      <c r="F27" s="114">
        <v>3.1</v>
      </c>
      <c r="G27" s="114">
        <v>0</v>
      </c>
      <c r="H27" s="114">
        <v>9.4499999999999993</v>
      </c>
      <c r="I27" s="114">
        <v>0</v>
      </c>
      <c r="J27" s="114">
        <v>11.52</v>
      </c>
      <c r="K27" s="114">
        <v>0</v>
      </c>
      <c r="L27" s="114">
        <v>5.22</v>
      </c>
      <c r="M27" s="114">
        <v>0</v>
      </c>
      <c r="N27" s="114">
        <v>0</v>
      </c>
      <c r="O27" s="114">
        <v>0</v>
      </c>
      <c r="P27" s="114">
        <v>0</v>
      </c>
      <c r="Q27" s="114">
        <v>0</v>
      </c>
      <c r="R27" s="114">
        <v>0</v>
      </c>
      <c r="S27" s="114">
        <v>0</v>
      </c>
      <c r="T27" s="114">
        <v>0</v>
      </c>
      <c r="U27" s="114">
        <v>0</v>
      </c>
      <c r="V27" s="114">
        <v>6.94</v>
      </c>
      <c r="W27" s="114">
        <v>0</v>
      </c>
      <c r="X27" s="114">
        <v>0</v>
      </c>
      <c r="Y27" s="114">
        <v>0</v>
      </c>
      <c r="AE27" s="99"/>
    </row>
    <row r="28" spans="2:31" x14ac:dyDescent="0.3">
      <c r="B28" s="104" t="s">
        <v>38</v>
      </c>
      <c r="C28" s="105">
        <f t="shared" si="0"/>
        <v>3.45</v>
      </c>
      <c r="D28" s="114">
        <v>0</v>
      </c>
      <c r="E28" s="114">
        <v>0</v>
      </c>
      <c r="F28" s="114">
        <v>0</v>
      </c>
      <c r="G28" s="114">
        <v>0</v>
      </c>
      <c r="H28" s="114">
        <v>1</v>
      </c>
      <c r="I28" s="114">
        <v>0</v>
      </c>
      <c r="J28" s="114">
        <v>0</v>
      </c>
      <c r="K28" s="114">
        <v>0</v>
      </c>
      <c r="L28" s="114">
        <v>0</v>
      </c>
      <c r="M28" s="114">
        <v>0</v>
      </c>
      <c r="N28" s="114">
        <v>0</v>
      </c>
      <c r="O28" s="114">
        <v>0</v>
      </c>
      <c r="P28" s="114">
        <v>0</v>
      </c>
      <c r="Q28" s="114">
        <v>0</v>
      </c>
      <c r="R28" s="114">
        <v>0</v>
      </c>
      <c r="S28" s="114">
        <v>0</v>
      </c>
      <c r="T28" s="114">
        <v>0</v>
      </c>
      <c r="U28" s="114">
        <v>0</v>
      </c>
      <c r="V28" s="114">
        <v>0</v>
      </c>
      <c r="W28" s="114">
        <v>0</v>
      </c>
      <c r="X28" s="114">
        <v>2.4500000000000002</v>
      </c>
      <c r="Y28" s="114">
        <v>0</v>
      </c>
      <c r="AE28" s="99"/>
    </row>
    <row r="29" spans="2:31" x14ac:dyDescent="0.3">
      <c r="B29" s="104" t="s">
        <v>39</v>
      </c>
      <c r="C29" s="105">
        <f t="shared" si="0"/>
        <v>25.37</v>
      </c>
      <c r="D29" s="114">
        <v>0</v>
      </c>
      <c r="E29" s="114">
        <v>3.71</v>
      </c>
      <c r="F29" s="114">
        <v>0</v>
      </c>
      <c r="G29" s="114">
        <v>0</v>
      </c>
      <c r="H29" s="114">
        <v>1.35</v>
      </c>
      <c r="I29" s="114">
        <v>0</v>
      </c>
      <c r="J29" s="114">
        <v>0</v>
      </c>
      <c r="K29" s="114">
        <v>0</v>
      </c>
      <c r="L29" s="114">
        <v>0</v>
      </c>
      <c r="M29" s="114">
        <v>0</v>
      </c>
      <c r="N29" s="114">
        <v>0</v>
      </c>
      <c r="O29" s="114">
        <v>0</v>
      </c>
      <c r="P29" s="114">
        <v>2.42</v>
      </c>
      <c r="Q29" s="114">
        <v>0</v>
      </c>
      <c r="R29" s="114">
        <v>0</v>
      </c>
      <c r="S29" s="114">
        <v>0</v>
      </c>
      <c r="T29" s="114">
        <v>0</v>
      </c>
      <c r="U29" s="114">
        <v>0</v>
      </c>
      <c r="V29" s="114">
        <v>17.89</v>
      </c>
      <c r="W29" s="114">
        <v>0</v>
      </c>
      <c r="X29" s="114">
        <v>0</v>
      </c>
      <c r="Y29" s="114">
        <v>0</v>
      </c>
      <c r="AE29" s="99"/>
    </row>
    <row r="30" spans="2:31" x14ac:dyDescent="0.3">
      <c r="B30" s="104" t="s">
        <v>40</v>
      </c>
      <c r="C30" s="105">
        <f t="shared" si="0"/>
        <v>461.08</v>
      </c>
      <c r="D30" s="114">
        <v>0</v>
      </c>
      <c r="E30" s="114">
        <v>154.77000000000001</v>
      </c>
      <c r="F30" s="114">
        <v>21.37</v>
      </c>
      <c r="G30" s="114">
        <v>6.2</v>
      </c>
      <c r="H30" s="114">
        <v>6.95</v>
      </c>
      <c r="I30" s="114">
        <v>29.6</v>
      </c>
      <c r="J30" s="114">
        <v>116.06</v>
      </c>
      <c r="K30" s="114">
        <v>7.21</v>
      </c>
      <c r="L30" s="114">
        <v>0</v>
      </c>
      <c r="M30" s="114">
        <v>3.23</v>
      </c>
      <c r="N30" s="114">
        <v>0</v>
      </c>
      <c r="O30" s="114">
        <v>0</v>
      </c>
      <c r="P30" s="114">
        <v>5.95</v>
      </c>
      <c r="Q30" s="114">
        <v>0</v>
      </c>
      <c r="R30" s="114">
        <v>0</v>
      </c>
      <c r="S30" s="114">
        <v>0.11</v>
      </c>
      <c r="T30" s="114">
        <v>0</v>
      </c>
      <c r="U30" s="114">
        <v>0</v>
      </c>
      <c r="V30" s="114">
        <v>0</v>
      </c>
      <c r="W30" s="114">
        <v>0</v>
      </c>
      <c r="X30" s="114">
        <v>109.63</v>
      </c>
      <c r="Y30" s="114">
        <v>0</v>
      </c>
      <c r="AE30" s="99"/>
    </row>
    <row r="31" spans="2:31" x14ac:dyDescent="0.3">
      <c r="B31" s="104" t="s">
        <v>41</v>
      </c>
      <c r="C31" s="105">
        <f t="shared" si="0"/>
        <v>1049.55</v>
      </c>
      <c r="D31" s="114">
        <v>0</v>
      </c>
      <c r="E31" s="114">
        <v>30.05</v>
      </c>
      <c r="F31" s="114">
        <v>279.58999999999997</v>
      </c>
      <c r="G31" s="114">
        <v>12.9</v>
      </c>
      <c r="H31" s="114">
        <v>68.52</v>
      </c>
      <c r="I31" s="114">
        <v>42.2</v>
      </c>
      <c r="J31" s="114">
        <v>215.05</v>
      </c>
      <c r="K31" s="114">
        <v>0</v>
      </c>
      <c r="L31" s="114">
        <v>0</v>
      </c>
      <c r="M31" s="114">
        <v>0</v>
      </c>
      <c r="N31" s="114">
        <v>0</v>
      </c>
      <c r="O31" s="114">
        <v>0</v>
      </c>
      <c r="P31" s="114">
        <v>0</v>
      </c>
      <c r="Q31" s="114">
        <v>0</v>
      </c>
      <c r="R31" s="114">
        <v>0.02</v>
      </c>
      <c r="S31" s="114">
        <v>0</v>
      </c>
      <c r="T31" s="114">
        <v>0</v>
      </c>
      <c r="U31" s="114">
        <v>0</v>
      </c>
      <c r="V31" s="114">
        <v>0</v>
      </c>
      <c r="W31" s="114">
        <v>0</v>
      </c>
      <c r="X31" s="114">
        <v>46.8</v>
      </c>
      <c r="Y31" s="114">
        <v>354.42</v>
      </c>
      <c r="AE31" s="99"/>
    </row>
    <row r="32" spans="2:31" x14ac:dyDescent="0.3">
      <c r="B32" s="104" t="s">
        <v>42</v>
      </c>
      <c r="C32" s="105">
        <f t="shared" si="0"/>
        <v>656.22</v>
      </c>
      <c r="D32" s="114">
        <v>0</v>
      </c>
      <c r="E32" s="114">
        <v>277.95999999999998</v>
      </c>
      <c r="F32" s="114">
        <v>29.05</v>
      </c>
      <c r="G32" s="114">
        <v>0</v>
      </c>
      <c r="H32" s="114">
        <v>17.940000000000001</v>
      </c>
      <c r="I32" s="114">
        <v>26.7</v>
      </c>
      <c r="J32" s="114">
        <v>181.66</v>
      </c>
      <c r="K32" s="114">
        <v>16.350000000000001</v>
      </c>
      <c r="L32" s="114">
        <v>3.46</v>
      </c>
      <c r="M32" s="114">
        <v>25.98</v>
      </c>
      <c r="N32" s="114">
        <v>0</v>
      </c>
      <c r="O32" s="114">
        <v>0</v>
      </c>
      <c r="P32" s="114">
        <v>5.96</v>
      </c>
      <c r="Q32" s="114">
        <v>0</v>
      </c>
      <c r="R32" s="114">
        <v>0</v>
      </c>
      <c r="S32" s="114">
        <v>0</v>
      </c>
      <c r="T32" s="114">
        <v>0</v>
      </c>
      <c r="U32" s="114">
        <v>0</v>
      </c>
      <c r="V32" s="114">
        <v>0</v>
      </c>
      <c r="W32" s="114">
        <v>0</v>
      </c>
      <c r="X32" s="114">
        <v>71.16</v>
      </c>
      <c r="Y32" s="114">
        <v>0</v>
      </c>
      <c r="AE32" s="99"/>
    </row>
    <row r="33" spans="2:31" x14ac:dyDescent="0.3">
      <c r="B33" s="104" t="s">
        <v>43</v>
      </c>
      <c r="C33" s="105">
        <f t="shared" si="0"/>
        <v>221.95900000000003</v>
      </c>
      <c r="D33" s="114">
        <v>0</v>
      </c>
      <c r="E33" s="114">
        <v>66.88</v>
      </c>
      <c r="F33" s="114">
        <v>9.8000000000000007</v>
      </c>
      <c r="G33" s="114">
        <v>60.3</v>
      </c>
      <c r="H33" s="114">
        <v>6.68</v>
      </c>
      <c r="I33" s="114">
        <v>15.9</v>
      </c>
      <c r="J33" s="114">
        <v>47.11</v>
      </c>
      <c r="K33" s="114">
        <v>2.0499999999999998</v>
      </c>
      <c r="L33" s="114">
        <v>0</v>
      </c>
      <c r="M33" s="114">
        <v>0</v>
      </c>
      <c r="N33" s="114">
        <v>0</v>
      </c>
      <c r="O33" s="114">
        <v>0</v>
      </c>
      <c r="P33" s="114">
        <v>1.24</v>
      </c>
      <c r="Q33" s="114">
        <v>0.29899999999999999</v>
      </c>
      <c r="R33" s="114">
        <v>0</v>
      </c>
      <c r="S33" s="114">
        <v>0</v>
      </c>
      <c r="T33" s="114">
        <v>0</v>
      </c>
      <c r="U33" s="114">
        <v>0</v>
      </c>
      <c r="V33" s="114">
        <v>0</v>
      </c>
      <c r="W33" s="114">
        <v>0</v>
      </c>
      <c r="X33" s="114">
        <v>11.7</v>
      </c>
      <c r="Y33" s="114">
        <v>0</v>
      </c>
      <c r="AE33" s="99"/>
    </row>
    <row r="34" spans="2:31" x14ac:dyDescent="0.3">
      <c r="B34" s="104" t="s">
        <v>44</v>
      </c>
      <c r="C34" s="105">
        <f t="shared" si="0"/>
        <v>1067.5800000000002</v>
      </c>
      <c r="D34" s="114">
        <v>0</v>
      </c>
      <c r="E34" s="114">
        <v>4.0999999999999996</v>
      </c>
      <c r="F34" s="114">
        <v>7.39</v>
      </c>
      <c r="G34" s="114">
        <v>25.6</v>
      </c>
      <c r="H34" s="114">
        <v>0</v>
      </c>
      <c r="I34" s="114">
        <v>18.5</v>
      </c>
      <c r="J34" s="114">
        <v>3.88</v>
      </c>
      <c r="K34" s="114">
        <v>0</v>
      </c>
      <c r="L34" s="114">
        <v>0</v>
      </c>
      <c r="M34" s="114">
        <v>0</v>
      </c>
      <c r="N34" s="114">
        <v>0</v>
      </c>
      <c r="O34" s="114">
        <v>0</v>
      </c>
      <c r="P34" s="114">
        <v>0.27</v>
      </c>
      <c r="Q34" s="114">
        <v>3.65</v>
      </c>
      <c r="R34" s="114">
        <v>0</v>
      </c>
      <c r="S34" s="114">
        <v>0</v>
      </c>
      <c r="T34" s="114">
        <v>0</v>
      </c>
      <c r="U34" s="114">
        <v>0</v>
      </c>
      <c r="V34" s="114">
        <v>0</v>
      </c>
      <c r="W34" s="114">
        <v>0</v>
      </c>
      <c r="X34" s="114">
        <v>1004.19</v>
      </c>
      <c r="Y34" s="114">
        <v>0</v>
      </c>
      <c r="AE34" s="99"/>
    </row>
    <row r="35" spans="2:31" x14ac:dyDescent="0.3">
      <c r="B35" s="104" t="s">
        <v>45</v>
      </c>
      <c r="C35" s="105">
        <f t="shared" si="0"/>
        <v>39.597999999999999</v>
      </c>
      <c r="D35" s="114">
        <v>0</v>
      </c>
      <c r="E35" s="114">
        <v>3.67</v>
      </c>
      <c r="F35" s="114">
        <v>5.73</v>
      </c>
      <c r="G35" s="114">
        <v>5.8</v>
      </c>
      <c r="H35" s="114">
        <v>0</v>
      </c>
      <c r="I35" s="114">
        <v>11.7</v>
      </c>
      <c r="J35" s="114">
        <v>0</v>
      </c>
      <c r="K35" s="114">
        <v>0</v>
      </c>
      <c r="L35" s="114">
        <v>0</v>
      </c>
      <c r="M35" s="114">
        <v>0</v>
      </c>
      <c r="N35" s="114">
        <v>0</v>
      </c>
      <c r="O35" s="114">
        <v>0</v>
      </c>
      <c r="P35" s="114">
        <v>0.83</v>
      </c>
      <c r="Q35" s="114">
        <v>0.94799999999999995</v>
      </c>
      <c r="R35" s="114">
        <v>0</v>
      </c>
      <c r="S35" s="114">
        <v>0</v>
      </c>
      <c r="T35" s="114">
        <v>0</v>
      </c>
      <c r="U35" s="114">
        <v>0</v>
      </c>
      <c r="V35" s="114">
        <v>0</v>
      </c>
      <c r="W35" s="114">
        <v>0</v>
      </c>
      <c r="X35" s="114">
        <v>10.92</v>
      </c>
      <c r="Y35" s="114">
        <v>0</v>
      </c>
      <c r="AE35" s="99"/>
    </row>
    <row r="36" spans="2:31" x14ac:dyDescent="0.3">
      <c r="B36" s="104" t="s">
        <v>46</v>
      </c>
      <c r="C36" s="105">
        <f t="shared" si="0"/>
        <v>67.010000000000005</v>
      </c>
      <c r="D36" s="114">
        <v>0</v>
      </c>
      <c r="E36" s="114">
        <v>2.98</v>
      </c>
      <c r="F36" s="114">
        <v>5.66</v>
      </c>
      <c r="G36" s="114">
        <v>11.4</v>
      </c>
      <c r="H36" s="114">
        <v>0.02</v>
      </c>
      <c r="I36" s="114">
        <v>16.8</v>
      </c>
      <c r="J36" s="114">
        <v>1.25</v>
      </c>
      <c r="K36" s="114">
        <v>0</v>
      </c>
      <c r="L36" s="114">
        <v>0</v>
      </c>
      <c r="M36" s="114">
        <v>0</v>
      </c>
      <c r="N36" s="114">
        <v>0</v>
      </c>
      <c r="O36" s="114">
        <v>0</v>
      </c>
      <c r="P36" s="114">
        <v>0.2</v>
      </c>
      <c r="Q36" s="114">
        <v>0</v>
      </c>
      <c r="R36" s="114">
        <v>0</v>
      </c>
      <c r="S36" s="114">
        <v>0</v>
      </c>
      <c r="T36" s="114">
        <v>0</v>
      </c>
      <c r="U36" s="114">
        <v>0</v>
      </c>
      <c r="V36" s="114">
        <v>0</v>
      </c>
      <c r="W36" s="114">
        <v>0</v>
      </c>
      <c r="X36" s="114">
        <v>28.7</v>
      </c>
      <c r="Y36" s="114">
        <v>0</v>
      </c>
      <c r="AE36" s="99"/>
    </row>
    <row r="37" spans="2:31" x14ac:dyDescent="0.3">
      <c r="B37" s="104" t="s">
        <v>47</v>
      </c>
      <c r="C37" s="105">
        <f t="shared" ref="C37:C68" si="1">SUM(D37:AE37)</f>
        <v>362.20999999999992</v>
      </c>
      <c r="D37" s="114">
        <v>0</v>
      </c>
      <c r="E37" s="114">
        <v>118.07</v>
      </c>
      <c r="F37" s="114">
        <v>17.57</v>
      </c>
      <c r="G37" s="114">
        <v>9.1999999999999993</v>
      </c>
      <c r="H37" s="114">
        <v>10.81</v>
      </c>
      <c r="I37" s="114">
        <v>35.6</v>
      </c>
      <c r="J37" s="114">
        <v>130.44999999999999</v>
      </c>
      <c r="K37" s="114">
        <v>9.49</v>
      </c>
      <c r="L37" s="114">
        <v>0</v>
      </c>
      <c r="M37" s="114">
        <v>7.68</v>
      </c>
      <c r="N37" s="114">
        <v>0</v>
      </c>
      <c r="O37" s="114">
        <v>0</v>
      </c>
      <c r="P37" s="114">
        <v>20.04</v>
      </c>
      <c r="Q37" s="114">
        <v>0.46</v>
      </c>
      <c r="R37" s="114">
        <v>0.51</v>
      </c>
      <c r="S37" s="114">
        <v>2.33</v>
      </c>
      <c r="T37" s="114">
        <v>0</v>
      </c>
      <c r="U37" s="114">
        <v>0</v>
      </c>
      <c r="V37" s="114">
        <v>0</v>
      </c>
      <c r="W37" s="114">
        <v>0</v>
      </c>
      <c r="X37" s="114">
        <v>0</v>
      </c>
      <c r="Y37" s="114">
        <v>0</v>
      </c>
      <c r="AE37" s="99"/>
    </row>
    <row r="38" spans="2:31" x14ac:dyDescent="0.3">
      <c r="B38" s="104" t="s">
        <v>48</v>
      </c>
      <c r="C38" s="105">
        <f t="shared" si="1"/>
        <v>186.51</v>
      </c>
      <c r="D38" s="114">
        <v>0.3</v>
      </c>
      <c r="E38" s="114">
        <v>5.67</v>
      </c>
      <c r="F38" s="114">
        <v>9.99</v>
      </c>
      <c r="G38" s="114">
        <v>78.8</v>
      </c>
      <c r="H38" s="114">
        <v>1.45</v>
      </c>
      <c r="I38" s="114">
        <v>17.899999999999999</v>
      </c>
      <c r="J38" s="114">
        <v>0</v>
      </c>
      <c r="K38" s="114">
        <v>0</v>
      </c>
      <c r="L38" s="114">
        <v>0</v>
      </c>
      <c r="M38" s="114">
        <v>0</v>
      </c>
      <c r="N38" s="114">
        <v>0</v>
      </c>
      <c r="O38" s="114">
        <v>0</v>
      </c>
      <c r="P38" s="114">
        <v>0.25</v>
      </c>
      <c r="Q38" s="114">
        <v>0</v>
      </c>
      <c r="R38" s="114">
        <v>0</v>
      </c>
      <c r="S38" s="114">
        <v>0</v>
      </c>
      <c r="T38" s="114">
        <v>0</v>
      </c>
      <c r="U38" s="114">
        <v>0</v>
      </c>
      <c r="V38" s="114">
        <v>0</v>
      </c>
      <c r="W38" s="114">
        <v>0</v>
      </c>
      <c r="X38" s="114">
        <v>72.150000000000006</v>
      </c>
      <c r="Y38" s="114">
        <v>0</v>
      </c>
      <c r="AE38" s="99"/>
    </row>
    <row r="39" spans="2:31" x14ac:dyDescent="0.3">
      <c r="B39" s="104" t="s">
        <v>50</v>
      </c>
      <c r="C39" s="105">
        <f t="shared" si="1"/>
        <v>775.0920000000001</v>
      </c>
      <c r="D39" s="114">
        <v>0</v>
      </c>
      <c r="E39" s="114">
        <v>163.49</v>
      </c>
      <c r="F39" s="114">
        <v>8.02</v>
      </c>
      <c r="G39" s="114">
        <v>16.600000000000001</v>
      </c>
      <c r="H39" s="114">
        <v>0</v>
      </c>
      <c r="I39" s="114">
        <v>15.3</v>
      </c>
      <c r="J39" s="114">
        <v>69.03</v>
      </c>
      <c r="K39" s="114">
        <v>62.76</v>
      </c>
      <c r="L39" s="114">
        <v>0</v>
      </c>
      <c r="M39" s="114">
        <v>14.73</v>
      </c>
      <c r="N39" s="114">
        <v>0</v>
      </c>
      <c r="O39" s="114">
        <v>13.93</v>
      </c>
      <c r="P39" s="114">
        <v>1.2</v>
      </c>
      <c r="Q39" s="114">
        <v>0.75800000000000001</v>
      </c>
      <c r="R39" s="114">
        <v>0</v>
      </c>
      <c r="S39" s="114">
        <v>7.46</v>
      </c>
      <c r="T39" s="114">
        <v>0</v>
      </c>
      <c r="U39" s="114">
        <v>2.0840000000000001</v>
      </c>
      <c r="V39" s="114">
        <v>0</v>
      </c>
      <c r="W39" s="114">
        <v>0</v>
      </c>
      <c r="X39" s="114">
        <v>399.73</v>
      </c>
      <c r="Y39" s="114">
        <v>0</v>
      </c>
      <c r="AE39" s="99"/>
    </row>
    <row r="40" spans="2:31" x14ac:dyDescent="0.3">
      <c r="B40" s="104" t="s">
        <v>51</v>
      </c>
      <c r="C40" s="105">
        <f t="shared" si="1"/>
        <v>63.23</v>
      </c>
      <c r="D40" s="114">
        <v>0</v>
      </c>
      <c r="E40" s="114">
        <v>2.0699999999999998</v>
      </c>
      <c r="F40" s="114">
        <v>2.42</v>
      </c>
      <c r="G40" s="114">
        <v>31.4</v>
      </c>
      <c r="H40" s="114">
        <v>0</v>
      </c>
      <c r="I40" s="114">
        <v>12.8</v>
      </c>
      <c r="J40" s="114">
        <v>0</v>
      </c>
      <c r="K40" s="114">
        <v>0</v>
      </c>
      <c r="L40" s="114">
        <v>0</v>
      </c>
      <c r="M40" s="114">
        <v>0</v>
      </c>
      <c r="N40" s="114">
        <v>0</v>
      </c>
      <c r="O40" s="114">
        <v>0</v>
      </c>
      <c r="P40" s="114">
        <v>0</v>
      </c>
      <c r="Q40" s="114">
        <v>0</v>
      </c>
      <c r="R40" s="114">
        <v>0</v>
      </c>
      <c r="S40" s="114">
        <v>0</v>
      </c>
      <c r="T40" s="114">
        <v>0</v>
      </c>
      <c r="U40" s="114">
        <v>0</v>
      </c>
      <c r="V40" s="114">
        <v>0</v>
      </c>
      <c r="W40" s="114">
        <v>0</v>
      </c>
      <c r="X40" s="114">
        <v>14.54</v>
      </c>
      <c r="Y40" s="114">
        <v>0</v>
      </c>
      <c r="AE40" s="99"/>
    </row>
    <row r="41" spans="2:31" x14ac:dyDescent="0.3">
      <c r="B41" s="104" t="s">
        <v>52</v>
      </c>
      <c r="C41" s="105">
        <f t="shared" si="1"/>
        <v>143.97</v>
      </c>
      <c r="D41" s="114">
        <v>0</v>
      </c>
      <c r="E41" s="114">
        <v>39.71</v>
      </c>
      <c r="F41" s="114">
        <v>9.02</v>
      </c>
      <c r="G41" s="114">
        <v>29.6</v>
      </c>
      <c r="H41" s="114">
        <v>6.56</v>
      </c>
      <c r="I41" s="114">
        <v>33.9</v>
      </c>
      <c r="J41" s="114">
        <v>23.98</v>
      </c>
      <c r="K41" s="114">
        <v>0</v>
      </c>
      <c r="L41" s="114">
        <v>0</v>
      </c>
      <c r="M41" s="114">
        <v>0</v>
      </c>
      <c r="N41" s="114">
        <v>0</v>
      </c>
      <c r="O41" s="114">
        <v>0</v>
      </c>
      <c r="P41" s="114">
        <v>1.1599999999999999</v>
      </c>
      <c r="Q41" s="114">
        <v>0</v>
      </c>
      <c r="R41" s="114">
        <v>0.04</v>
      </c>
      <c r="S41" s="114">
        <v>0</v>
      </c>
      <c r="T41" s="114">
        <v>0</v>
      </c>
      <c r="U41" s="114">
        <v>0</v>
      </c>
      <c r="V41" s="114">
        <v>0</v>
      </c>
      <c r="W41" s="114">
        <v>0</v>
      </c>
      <c r="X41" s="114">
        <v>0</v>
      </c>
      <c r="Y41" s="114">
        <v>0</v>
      </c>
      <c r="AE41" s="99"/>
    </row>
    <row r="42" spans="2:31" x14ac:dyDescent="0.3">
      <c r="B42" s="104" t="s">
        <v>53</v>
      </c>
      <c r="C42" s="105">
        <f t="shared" si="1"/>
        <v>1203.7400000000002</v>
      </c>
      <c r="D42" s="114">
        <v>0</v>
      </c>
      <c r="E42" s="114">
        <v>663.07</v>
      </c>
      <c r="F42" s="114">
        <v>53.32</v>
      </c>
      <c r="G42" s="114">
        <v>15.8</v>
      </c>
      <c r="H42" s="114">
        <v>9.4499999999999993</v>
      </c>
      <c r="I42" s="114">
        <v>34.299999999999997</v>
      </c>
      <c r="J42" s="114">
        <v>198.29</v>
      </c>
      <c r="K42" s="114">
        <v>62.66</v>
      </c>
      <c r="L42" s="114">
        <v>13.79</v>
      </c>
      <c r="M42" s="114">
        <v>49.68</v>
      </c>
      <c r="N42" s="114">
        <v>0</v>
      </c>
      <c r="O42" s="114">
        <v>0</v>
      </c>
      <c r="P42" s="114">
        <v>2.23</v>
      </c>
      <c r="Q42" s="114">
        <v>0</v>
      </c>
      <c r="R42" s="114">
        <v>0.04</v>
      </c>
      <c r="S42" s="114">
        <v>14.92</v>
      </c>
      <c r="T42" s="114">
        <v>0</v>
      </c>
      <c r="U42" s="114">
        <v>0</v>
      </c>
      <c r="V42" s="114">
        <v>0</v>
      </c>
      <c r="W42" s="114">
        <v>0</v>
      </c>
      <c r="X42" s="114">
        <v>86.19</v>
      </c>
      <c r="Y42" s="114">
        <v>0</v>
      </c>
      <c r="AE42" s="99"/>
    </row>
    <row r="43" spans="2:31" x14ac:dyDescent="0.3">
      <c r="B43" s="104" t="s">
        <v>54</v>
      </c>
      <c r="C43" s="105">
        <f t="shared" si="1"/>
        <v>465.54601064330745</v>
      </c>
      <c r="D43" s="114">
        <v>0</v>
      </c>
      <c r="E43" s="114">
        <v>65.820437789396678</v>
      </c>
      <c r="F43" s="114">
        <v>16.815134560347111</v>
      </c>
      <c r="G43" s="114">
        <v>20.420754192675048</v>
      </c>
      <c r="H43" s="114">
        <v>15.469073695938896</v>
      </c>
      <c r="I43" s="114">
        <v>26.630969709544214</v>
      </c>
      <c r="J43" s="114">
        <v>46.870755568550599</v>
      </c>
      <c r="K43" s="114">
        <v>0</v>
      </c>
      <c r="L43" s="114">
        <v>12.890518578350669</v>
      </c>
      <c r="M43" s="114">
        <v>0</v>
      </c>
      <c r="N43" s="114">
        <v>0</v>
      </c>
      <c r="O43" s="114">
        <v>0</v>
      </c>
      <c r="P43" s="114">
        <v>1.7393226710134244</v>
      </c>
      <c r="Q43" s="114">
        <v>1.3981238691379714</v>
      </c>
      <c r="R43" s="114">
        <v>3.648160192370635E-2</v>
      </c>
      <c r="S43" s="114">
        <v>0</v>
      </c>
      <c r="T43" s="114">
        <v>0</v>
      </c>
      <c r="U43" s="114">
        <v>0</v>
      </c>
      <c r="V43" s="114">
        <v>0</v>
      </c>
      <c r="W43" s="114">
        <v>0</v>
      </c>
      <c r="X43" s="114">
        <v>257.45443840642912</v>
      </c>
      <c r="Y43" s="114">
        <v>0</v>
      </c>
      <c r="AE43" s="99"/>
    </row>
    <row r="44" spans="2:31" x14ac:dyDescent="0.3">
      <c r="B44" s="104" t="s">
        <v>55</v>
      </c>
      <c r="C44" s="105">
        <f t="shared" si="1"/>
        <v>64.94484808400162</v>
      </c>
      <c r="D44" s="114">
        <v>0</v>
      </c>
      <c r="E44" s="114">
        <v>0</v>
      </c>
      <c r="F44" s="114">
        <v>3.3714478177347105</v>
      </c>
      <c r="G44" s="114">
        <v>38.471295412835971</v>
      </c>
      <c r="H44" s="114">
        <v>0</v>
      </c>
      <c r="I44" s="114">
        <v>22.049297286341947</v>
      </c>
      <c r="J44" s="114">
        <v>0</v>
      </c>
      <c r="K44" s="114">
        <v>4.5525692524763545E-2</v>
      </c>
      <c r="L44" s="114">
        <v>0</v>
      </c>
      <c r="M44" s="114">
        <v>0</v>
      </c>
      <c r="N44" s="114">
        <v>0</v>
      </c>
      <c r="O44" s="114">
        <v>0</v>
      </c>
      <c r="P44" s="114">
        <v>0.98064767801455976</v>
      </c>
      <c r="Q44" s="114">
        <v>0</v>
      </c>
      <c r="R44" s="114">
        <v>2.6634196549660129E-2</v>
      </c>
      <c r="S44" s="114">
        <v>0</v>
      </c>
      <c r="T44" s="114">
        <v>0</v>
      </c>
      <c r="U44" s="114">
        <v>0</v>
      </c>
      <c r="V44" s="114">
        <v>0</v>
      </c>
      <c r="W44" s="114">
        <v>0</v>
      </c>
      <c r="X44" s="114">
        <v>0</v>
      </c>
      <c r="Y44" s="114">
        <v>0</v>
      </c>
      <c r="AE44" s="99"/>
    </row>
    <row r="45" spans="2:31" x14ac:dyDescent="0.3">
      <c r="B45" s="104" t="s">
        <v>210</v>
      </c>
      <c r="C45" s="105">
        <f t="shared" si="1"/>
        <v>202.81432359301718</v>
      </c>
      <c r="D45" s="114">
        <v>0</v>
      </c>
      <c r="E45" s="114">
        <v>0</v>
      </c>
      <c r="F45" s="114">
        <v>3.0608626596485764</v>
      </c>
      <c r="G45" s="114">
        <v>27.761048255086166</v>
      </c>
      <c r="H45" s="114">
        <v>0</v>
      </c>
      <c r="I45" s="114">
        <v>15.221506714411039</v>
      </c>
      <c r="J45" s="114">
        <v>0</v>
      </c>
      <c r="K45" s="114">
        <v>0</v>
      </c>
      <c r="L45" s="114">
        <v>0</v>
      </c>
      <c r="M45" s="114">
        <v>0</v>
      </c>
      <c r="N45" s="114">
        <v>0</v>
      </c>
      <c r="O45" s="114">
        <v>0</v>
      </c>
      <c r="P45" s="114">
        <v>4.9197823011811437</v>
      </c>
      <c r="Q45" s="114">
        <v>2.808265116641127</v>
      </c>
      <c r="R45" s="114">
        <v>0</v>
      </c>
      <c r="S45" s="114">
        <v>0</v>
      </c>
      <c r="T45" s="114">
        <v>0</v>
      </c>
      <c r="U45" s="114">
        <v>0</v>
      </c>
      <c r="V45" s="114">
        <v>0</v>
      </c>
      <c r="W45" s="114">
        <v>0</v>
      </c>
      <c r="X45" s="114">
        <v>149.04285854604913</v>
      </c>
      <c r="Y45" s="114">
        <v>0</v>
      </c>
      <c r="AE45" s="99"/>
    </row>
    <row r="46" spans="2:31" x14ac:dyDescent="0.3">
      <c r="B46" s="104" t="s">
        <v>56</v>
      </c>
      <c r="C46" s="105">
        <f t="shared" si="1"/>
        <v>164.4033198189039</v>
      </c>
      <c r="D46" s="114">
        <v>0</v>
      </c>
      <c r="E46" s="114">
        <v>7.1008070725088706</v>
      </c>
      <c r="F46" s="114">
        <v>9.0829445055815086</v>
      </c>
      <c r="G46" s="114">
        <v>5.3354788339374899</v>
      </c>
      <c r="H46" s="114">
        <v>3.3120050069343012</v>
      </c>
      <c r="I46" s="114">
        <v>21.867156329492254</v>
      </c>
      <c r="J46" s="114">
        <v>6.5254917453288641</v>
      </c>
      <c r="K46" s="114">
        <v>0</v>
      </c>
      <c r="L46" s="114">
        <v>0</v>
      </c>
      <c r="M46" s="114">
        <v>0</v>
      </c>
      <c r="N46" s="114">
        <v>0</v>
      </c>
      <c r="O46" s="114">
        <v>0</v>
      </c>
      <c r="P46" s="114">
        <v>3.0435091529375455</v>
      </c>
      <c r="Q46" s="114">
        <v>1.8394892876399815</v>
      </c>
      <c r="R46" s="114">
        <v>0</v>
      </c>
      <c r="S46" s="114">
        <v>0</v>
      </c>
      <c r="T46" s="114">
        <v>0</v>
      </c>
      <c r="U46" s="114">
        <v>0</v>
      </c>
      <c r="V46" s="114">
        <v>0</v>
      </c>
      <c r="W46" s="114">
        <v>0</v>
      </c>
      <c r="X46" s="114">
        <v>106.29643788454308</v>
      </c>
      <c r="Y46" s="114">
        <v>0</v>
      </c>
      <c r="AE46" s="99"/>
    </row>
    <row r="47" spans="2:31" x14ac:dyDescent="0.3">
      <c r="B47" s="104" t="s">
        <v>57</v>
      </c>
      <c r="C47" s="105">
        <f t="shared" si="1"/>
        <v>591.20792848477504</v>
      </c>
      <c r="D47" s="114">
        <v>0</v>
      </c>
      <c r="E47" s="114">
        <v>10.378936318791268</v>
      </c>
      <c r="F47" s="114">
        <v>6.8897389173443901</v>
      </c>
      <c r="G47" s="114">
        <v>10.656897994040047</v>
      </c>
      <c r="H47" s="114">
        <v>2.2000223350039683</v>
      </c>
      <c r="I47" s="114">
        <v>20.590987468456007</v>
      </c>
      <c r="J47" s="114">
        <v>6.4218405119588748</v>
      </c>
      <c r="K47" s="114">
        <v>0</v>
      </c>
      <c r="L47" s="114">
        <v>28.944875947654793</v>
      </c>
      <c r="M47" s="114">
        <v>0</v>
      </c>
      <c r="N47" s="114">
        <v>0</v>
      </c>
      <c r="O47" s="114">
        <v>0</v>
      </c>
      <c r="P47" s="114">
        <v>2.1813401538987609</v>
      </c>
      <c r="Q47" s="114">
        <v>0</v>
      </c>
      <c r="R47" s="114">
        <v>2.3756483228451513E-2</v>
      </c>
      <c r="S47" s="114">
        <v>484.79601060114715</v>
      </c>
      <c r="T47" s="114">
        <v>2.6794513771769117</v>
      </c>
      <c r="U47" s="114">
        <v>0</v>
      </c>
      <c r="V47" s="114">
        <v>0</v>
      </c>
      <c r="W47" s="114">
        <v>3.3000666650451698</v>
      </c>
      <c r="X47" s="114">
        <v>12.14400371102932</v>
      </c>
      <c r="Y47" s="114">
        <v>0</v>
      </c>
      <c r="AE47" s="99"/>
    </row>
    <row r="48" spans="2:31" x14ac:dyDescent="0.3">
      <c r="B48" s="104" t="s">
        <v>58</v>
      </c>
      <c r="C48" s="105">
        <f t="shared" si="1"/>
        <v>70.157882835359118</v>
      </c>
      <c r="D48" s="114">
        <v>0</v>
      </c>
      <c r="E48" s="114">
        <v>0</v>
      </c>
      <c r="F48" s="114">
        <v>5.3827623232966975</v>
      </c>
      <c r="G48" s="114">
        <v>22.386204193015331</v>
      </c>
      <c r="H48" s="114">
        <v>0</v>
      </c>
      <c r="I48" s="114">
        <v>17.075400907328095</v>
      </c>
      <c r="J48" s="114">
        <v>0</v>
      </c>
      <c r="K48" s="114">
        <v>0</v>
      </c>
      <c r="L48" s="114">
        <v>0</v>
      </c>
      <c r="M48" s="114">
        <v>0</v>
      </c>
      <c r="N48" s="114">
        <v>0</v>
      </c>
      <c r="O48" s="114">
        <v>0</v>
      </c>
      <c r="P48" s="114">
        <v>2.3242453169794715</v>
      </c>
      <c r="Q48" s="114">
        <v>0</v>
      </c>
      <c r="R48" s="114">
        <v>4.2607077360291304E-2</v>
      </c>
      <c r="S48" s="114">
        <v>0</v>
      </c>
      <c r="T48" s="114">
        <v>0</v>
      </c>
      <c r="U48" s="114">
        <v>0</v>
      </c>
      <c r="V48" s="114">
        <v>0</v>
      </c>
      <c r="W48" s="114">
        <v>0</v>
      </c>
      <c r="X48" s="114">
        <v>22.946663017379237</v>
      </c>
      <c r="Y48" s="114">
        <v>0</v>
      </c>
      <c r="AE48" s="99"/>
    </row>
    <row r="49" spans="2:31" x14ac:dyDescent="0.3">
      <c r="B49" s="104" t="s">
        <v>59</v>
      </c>
      <c r="C49" s="105">
        <f t="shared" si="1"/>
        <v>1215.3214616162732</v>
      </c>
      <c r="D49" s="114">
        <v>0</v>
      </c>
      <c r="E49" s="114">
        <v>0</v>
      </c>
      <c r="F49" s="114">
        <v>6.7129331884527677</v>
      </c>
      <c r="G49" s="114">
        <v>5.7676649880557065</v>
      </c>
      <c r="H49" s="114">
        <v>0</v>
      </c>
      <c r="I49" s="114">
        <v>14.198945732217066</v>
      </c>
      <c r="J49" s="114">
        <v>0</v>
      </c>
      <c r="K49" s="114">
        <v>0</v>
      </c>
      <c r="L49" s="114">
        <v>0</v>
      </c>
      <c r="M49" s="114">
        <v>0</v>
      </c>
      <c r="N49" s="114">
        <v>0</v>
      </c>
      <c r="O49" s="114">
        <v>0</v>
      </c>
      <c r="P49" s="114">
        <v>2.3402949576931142</v>
      </c>
      <c r="Q49" s="114">
        <v>2.8695896129478631</v>
      </c>
      <c r="R49" s="114">
        <v>0</v>
      </c>
      <c r="S49" s="114">
        <v>0</v>
      </c>
      <c r="T49" s="114">
        <v>0</v>
      </c>
      <c r="U49" s="114">
        <v>0</v>
      </c>
      <c r="V49" s="114">
        <v>0</v>
      </c>
      <c r="W49" s="114">
        <v>0</v>
      </c>
      <c r="X49" s="114">
        <v>1183.4320331369067</v>
      </c>
      <c r="Y49" s="114">
        <v>0</v>
      </c>
      <c r="AE49" s="99"/>
    </row>
    <row r="50" spans="2:31" x14ac:dyDescent="0.3">
      <c r="B50" s="104" t="s">
        <v>60</v>
      </c>
      <c r="C50" s="105">
        <f t="shared" si="1"/>
        <v>538.31658214574998</v>
      </c>
      <c r="D50" s="114">
        <v>0</v>
      </c>
      <c r="E50" s="114">
        <v>10.750678935574001</v>
      </c>
      <c r="F50" s="114">
        <v>17.504169105751725</v>
      </c>
      <c r="G50" s="114">
        <v>5.1944343691741963</v>
      </c>
      <c r="H50" s="114">
        <v>14.693547186317403</v>
      </c>
      <c r="I50" s="114">
        <v>20.22397090524899</v>
      </c>
      <c r="J50" s="114">
        <v>13.820868169644971</v>
      </c>
      <c r="K50" s="114">
        <v>0</v>
      </c>
      <c r="L50" s="114">
        <v>9.9705308484064794</v>
      </c>
      <c r="M50" s="114">
        <v>0</v>
      </c>
      <c r="N50" s="114">
        <v>0</v>
      </c>
      <c r="O50" s="114">
        <v>0</v>
      </c>
      <c r="P50" s="114">
        <v>1.0578312660058378</v>
      </c>
      <c r="Q50" s="114">
        <v>1.0886230005499233</v>
      </c>
      <c r="R50" s="114">
        <v>1.3911648407804927E-2</v>
      </c>
      <c r="S50" s="114">
        <v>0</v>
      </c>
      <c r="T50" s="114">
        <v>0</v>
      </c>
      <c r="U50" s="114">
        <v>0</v>
      </c>
      <c r="V50" s="114">
        <v>0</v>
      </c>
      <c r="W50" s="114">
        <v>0</v>
      </c>
      <c r="X50" s="114">
        <v>443.99801671066865</v>
      </c>
      <c r="Y50" s="114">
        <v>0</v>
      </c>
      <c r="AE50" s="99"/>
    </row>
    <row r="51" spans="2:31" x14ac:dyDescent="0.3">
      <c r="B51" s="104" t="s">
        <v>61</v>
      </c>
      <c r="C51" s="105">
        <f t="shared" si="1"/>
        <v>234.16109799939525</v>
      </c>
      <c r="D51" s="114">
        <v>0</v>
      </c>
      <c r="E51" s="114">
        <v>0</v>
      </c>
      <c r="F51" s="114">
        <v>7.7778989125409073</v>
      </c>
      <c r="G51" s="114">
        <v>16.834931220005117</v>
      </c>
      <c r="H51" s="114">
        <v>1.0316389470465324</v>
      </c>
      <c r="I51" s="114">
        <v>19.038198477008685</v>
      </c>
      <c r="J51" s="114">
        <v>0</v>
      </c>
      <c r="K51" s="114">
        <v>0</v>
      </c>
      <c r="L51" s="114">
        <v>0</v>
      </c>
      <c r="M51" s="114">
        <v>0</v>
      </c>
      <c r="N51" s="114">
        <v>0</v>
      </c>
      <c r="O51" s="114">
        <v>0</v>
      </c>
      <c r="P51" s="114">
        <v>3.4411833151397948</v>
      </c>
      <c r="Q51" s="114">
        <v>0.32727205871414311</v>
      </c>
      <c r="R51" s="114">
        <v>0</v>
      </c>
      <c r="S51" s="114">
        <v>0</v>
      </c>
      <c r="T51" s="114">
        <v>0</v>
      </c>
      <c r="U51" s="114">
        <v>0</v>
      </c>
      <c r="V51" s="114">
        <v>0</v>
      </c>
      <c r="W51" s="114">
        <v>0</v>
      </c>
      <c r="X51" s="114">
        <v>185.70997506894008</v>
      </c>
      <c r="Y51" s="114">
        <v>0</v>
      </c>
      <c r="AE51" s="99"/>
    </row>
    <row r="52" spans="2:31" x14ac:dyDescent="0.3">
      <c r="B52" s="104" t="s">
        <v>62</v>
      </c>
      <c r="C52" s="105">
        <f t="shared" si="1"/>
        <v>223.2187034436248</v>
      </c>
      <c r="D52" s="114">
        <v>0</v>
      </c>
      <c r="E52" s="114">
        <v>1.1222225111164281</v>
      </c>
      <c r="F52" s="114">
        <v>9.3237026802844341</v>
      </c>
      <c r="G52" s="114">
        <v>10.751112813786321</v>
      </c>
      <c r="H52" s="114">
        <v>2.0149398955761626</v>
      </c>
      <c r="I52" s="114">
        <v>23.853036255472755</v>
      </c>
      <c r="J52" s="114">
        <v>4.466876545016941</v>
      </c>
      <c r="K52" s="114">
        <v>0</v>
      </c>
      <c r="L52" s="114">
        <v>0</v>
      </c>
      <c r="M52" s="114">
        <v>0</v>
      </c>
      <c r="N52" s="114">
        <v>0</v>
      </c>
      <c r="O52" s="114">
        <v>0</v>
      </c>
      <c r="P52" s="114">
        <v>1.1393750234419775</v>
      </c>
      <c r="Q52" s="114">
        <v>0.89454517404625244</v>
      </c>
      <c r="R52" s="114">
        <v>0</v>
      </c>
      <c r="S52" s="114">
        <v>0</v>
      </c>
      <c r="T52" s="114">
        <v>0</v>
      </c>
      <c r="U52" s="114">
        <v>0</v>
      </c>
      <c r="V52" s="114">
        <v>0</v>
      </c>
      <c r="W52" s="114">
        <v>0</v>
      </c>
      <c r="X52" s="114">
        <v>169.65289254488351</v>
      </c>
      <c r="Y52" s="114">
        <v>0</v>
      </c>
      <c r="AE52" s="99"/>
    </row>
    <row r="53" spans="2:31" x14ac:dyDescent="0.3">
      <c r="B53" s="104" t="s">
        <v>63</v>
      </c>
      <c r="C53" s="105">
        <f t="shared" si="1"/>
        <v>388.48319037831232</v>
      </c>
      <c r="D53" s="114">
        <v>0</v>
      </c>
      <c r="E53" s="114">
        <v>7.0202320894260311</v>
      </c>
      <c r="F53" s="114">
        <v>10.080943802971092</v>
      </c>
      <c r="G53" s="114">
        <v>0</v>
      </c>
      <c r="H53" s="114">
        <v>0.65222687152781411</v>
      </c>
      <c r="I53" s="114">
        <v>21.384696294179051</v>
      </c>
      <c r="J53" s="114">
        <v>0.37724739355367376</v>
      </c>
      <c r="K53" s="114">
        <v>0</v>
      </c>
      <c r="L53" s="114">
        <v>0</v>
      </c>
      <c r="M53" s="114">
        <v>0</v>
      </c>
      <c r="N53" s="114">
        <v>0</v>
      </c>
      <c r="O53" s="114">
        <v>0</v>
      </c>
      <c r="P53" s="114">
        <v>1.1119673090679416</v>
      </c>
      <c r="Q53" s="114">
        <v>0.90408735507142346</v>
      </c>
      <c r="R53" s="114">
        <v>3.2857751651851085E-2</v>
      </c>
      <c r="S53" s="114">
        <v>0</v>
      </c>
      <c r="T53" s="114">
        <v>0</v>
      </c>
      <c r="U53" s="114">
        <v>0</v>
      </c>
      <c r="V53" s="114">
        <v>0</v>
      </c>
      <c r="W53" s="114">
        <v>0</v>
      </c>
      <c r="X53" s="114">
        <v>346.91893151086344</v>
      </c>
      <c r="Y53" s="114">
        <v>0</v>
      </c>
      <c r="AE53" s="99"/>
    </row>
    <row r="54" spans="2:31" x14ac:dyDescent="0.3">
      <c r="B54" s="104" t="s">
        <v>64</v>
      </c>
      <c r="C54" s="105">
        <f t="shared" si="1"/>
        <v>24.936927396911113</v>
      </c>
      <c r="D54" s="114">
        <v>0</v>
      </c>
      <c r="E54" s="114">
        <v>0</v>
      </c>
      <c r="F54" s="114">
        <v>5.12130109217747</v>
      </c>
      <c r="G54" s="114">
        <v>0</v>
      </c>
      <c r="H54" s="114">
        <v>2.866497189440409E-2</v>
      </c>
      <c r="I54" s="114">
        <v>14.422451881674284</v>
      </c>
      <c r="J54" s="114">
        <v>0</v>
      </c>
      <c r="K54" s="114">
        <v>4.7402241484281828E-2</v>
      </c>
      <c r="L54" s="114">
        <v>0</v>
      </c>
      <c r="M54" s="114">
        <v>0</v>
      </c>
      <c r="N54" s="114">
        <v>0</v>
      </c>
      <c r="O54" s="114">
        <v>0</v>
      </c>
      <c r="P54" s="114">
        <v>0.86449308622939802</v>
      </c>
      <c r="Q54" s="114">
        <v>0</v>
      </c>
      <c r="R54" s="114">
        <v>2.5262617210860993E-2</v>
      </c>
      <c r="S54" s="114">
        <v>0</v>
      </c>
      <c r="T54" s="114">
        <v>0</v>
      </c>
      <c r="U54" s="114">
        <v>0</v>
      </c>
      <c r="V54" s="114">
        <v>0</v>
      </c>
      <c r="W54" s="114">
        <v>0</v>
      </c>
      <c r="X54" s="114">
        <v>4.427351506240413</v>
      </c>
      <c r="Y54" s="114">
        <v>0</v>
      </c>
      <c r="AE54" s="99"/>
    </row>
    <row r="55" spans="2:31" x14ac:dyDescent="0.3">
      <c r="B55" s="104" t="s">
        <v>65</v>
      </c>
      <c r="C55" s="105">
        <f t="shared" si="1"/>
        <v>311.54726407635837</v>
      </c>
      <c r="D55" s="114">
        <v>0</v>
      </c>
      <c r="E55" s="114">
        <v>2.0605204226850304E-2</v>
      </c>
      <c r="F55" s="114">
        <v>3.2902619052716933</v>
      </c>
      <c r="G55" s="114">
        <v>7.68053777787879</v>
      </c>
      <c r="H55" s="114">
        <v>0</v>
      </c>
      <c r="I55" s="114">
        <v>12.295405622774</v>
      </c>
      <c r="J55" s="114">
        <v>0</v>
      </c>
      <c r="K55" s="114">
        <v>0</v>
      </c>
      <c r="L55" s="114">
        <v>0</v>
      </c>
      <c r="M55" s="114">
        <v>0</v>
      </c>
      <c r="N55" s="114">
        <v>0</v>
      </c>
      <c r="O55" s="114">
        <v>0</v>
      </c>
      <c r="P55" s="114">
        <v>0.6439482636916054</v>
      </c>
      <c r="Q55" s="114">
        <v>0</v>
      </c>
      <c r="R55" s="114">
        <v>2.0896668607722647E-2</v>
      </c>
      <c r="S55" s="114">
        <v>0</v>
      </c>
      <c r="T55" s="114">
        <v>0</v>
      </c>
      <c r="U55" s="114">
        <v>0</v>
      </c>
      <c r="V55" s="114">
        <v>0</v>
      </c>
      <c r="W55" s="114">
        <v>0</v>
      </c>
      <c r="X55" s="114">
        <v>287.59560863390772</v>
      </c>
      <c r="Y55" s="114">
        <v>0</v>
      </c>
      <c r="AE55" s="99"/>
    </row>
    <row r="56" spans="2:31" x14ac:dyDescent="0.3">
      <c r="B56" s="104" t="s">
        <v>66</v>
      </c>
      <c r="C56" s="105">
        <f t="shared" si="1"/>
        <v>464.46499415240862</v>
      </c>
      <c r="D56" s="114">
        <v>0</v>
      </c>
      <c r="E56" s="114">
        <v>1.7147576671184512</v>
      </c>
      <c r="F56" s="114">
        <v>40.31280152931997</v>
      </c>
      <c r="G56" s="114">
        <v>62.781678559777049</v>
      </c>
      <c r="H56" s="114">
        <v>51.718357209692549</v>
      </c>
      <c r="I56" s="114">
        <v>31.398686007339723</v>
      </c>
      <c r="J56" s="114">
        <v>115.41241748179141</v>
      </c>
      <c r="K56" s="114">
        <v>0</v>
      </c>
      <c r="L56" s="114">
        <v>154.15400768366857</v>
      </c>
      <c r="M56" s="114">
        <v>0</v>
      </c>
      <c r="N56" s="114">
        <v>0</v>
      </c>
      <c r="O56" s="114">
        <v>0</v>
      </c>
      <c r="P56" s="114">
        <v>6.9722880137008927</v>
      </c>
      <c r="Q56" s="114">
        <v>0</v>
      </c>
      <c r="R56" s="114">
        <v>0</v>
      </c>
      <c r="S56" s="114">
        <v>0</v>
      </c>
      <c r="T56" s="114">
        <v>0</v>
      </c>
      <c r="U56" s="114">
        <v>0</v>
      </c>
      <c r="V56" s="114">
        <v>0</v>
      </c>
      <c r="W56" s="114">
        <v>0</v>
      </c>
      <c r="X56" s="114">
        <v>0</v>
      </c>
      <c r="Y56" s="114">
        <v>0</v>
      </c>
      <c r="AE56" s="99"/>
    </row>
    <row r="57" spans="2:31" x14ac:dyDescent="0.3">
      <c r="B57" s="104" t="s">
        <v>67</v>
      </c>
      <c r="C57" s="105">
        <f t="shared" si="1"/>
        <v>460.64140614002486</v>
      </c>
      <c r="D57" s="114">
        <v>0</v>
      </c>
      <c r="E57" s="114">
        <v>97.701296500937303</v>
      </c>
      <c r="F57" s="114">
        <v>9.5976136062706949</v>
      </c>
      <c r="G57" s="114">
        <v>28.350087667101707</v>
      </c>
      <c r="H57" s="114">
        <v>1.4808360893757442</v>
      </c>
      <c r="I57" s="114">
        <v>20.811902385279954</v>
      </c>
      <c r="J57" s="114">
        <v>50.897766898139771</v>
      </c>
      <c r="K57" s="114">
        <v>4.106940553301766</v>
      </c>
      <c r="L57" s="114">
        <v>0</v>
      </c>
      <c r="M57" s="114">
        <v>0</v>
      </c>
      <c r="N57" s="114">
        <v>0</v>
      </c>
      <c r="O57" s="114">
        <v>0</v>
      </c>
      <c r="P57" s="114">
        <v>0.56541603897884318</v>
      </c>
      <c r="Q57" s="114">
        <v>0</v>
      </c>
      <c r="R57" s="114">
        <v>4.6770722077280565E-2</v>
      </c>
      <c r="S57" s="114">
        <v>4.1231905408715637</v>
      </c>
      <c r="T57" s="114">
        <v>0.40704224669649725</v>
      </c>
      <c r="U57" s="114">
        <v>0</v>
      </c>
      <c r="V57" s="114">
        <v>0</v>
      </c>
      <c r="W57" s="114">
        <v>0</v>
      </c>
      <c r="X57" s="114">
        <v>242.55254289099372</v>
      </c>
      <c r="Y57" s="114">
        <v>0</v>
      </c>
      <c r="AE57" s="99"/>
    </row>
    <row r="58" spans="2:31" x14ac:dyDescent="0.3">
      <c r="B58" s="104" t="s">
        <v>68</v>
      </c>
      <c r="C58" s="105">
        <f t="shared" si="1"/>
        <v>625.16931619810271</v>
      </c>
      <c r="D58" s="114">
        <v>0</v>
      </c>
      <c r="E58" s="114">
        <v>304.11948569108608</v>
      </c>
      <c r="F58" s="114">
        <v>18.2077213903165</v>
      </c>
      <c r="G58" s="114">
        <v>11.174631702010402</v>
      </c>
      <c r="H58" s="114">
        <v>14.304169739441285</v>
      </c>
      <c r="I58" s="114">
        <v>33.736107248889923</v>
      </c>
      <c r="J58" s="114">
        <v>157.29614005540392</v>
      </c>
      <c r="K58" s="114">
        <v>3.486122133251456</v>
      </c>
      <c r="L58" s="114">
        <v>10.960711064121575</v>
      </c>
      <c r="M58" s="114">
        <v>0</v>
      </c>
      <c r="N58" s="114">
        <v>0</v>
      </c>
      <c r="O58" s="114">
        <v>0</v>
      </c>
      <c r="P58" s="114">
        <v>1.2468402809844557</v>
      </c>
      <c r="Q58" s="114">
        <v>0</v>
      </c>
      <c r="R58" s="114">
        <v>0</v>
      </c>
      <c r="S58" s="114">
        <v>0</v>
      </c>
      <c r="T58" s="114">
        <v>0</v>
      </c>
      <c r="U58" s="114">
        <v>0</v>
      </c>
      <c r="V58" s="114">
        <v>0</v>
      </c>
      <c r="W58" s="114">
        <v>0</v>
      </c>
      <c r="X58" s="114">
        <v>70.637386892597107</v>
      </c>
      <c r="Y58" s="114">
        <v>0</v>
      </c>
      <c r="AE58" s="99"/>
    </row>
    <row r="59" spans="2:31" x14ac:dyDescent="0.3">
      <c r="B59" s="104" t="s">
        <v>69</v>
      </c>
      <c r="C59" s="105">
        <f t="shared" si="1"/>
        <v>310.28798925469044</v>
      </c>
      <c r="D59" s="114">
        <v>0</v>
      </c>
      <c r="E59" s="114">
        <v>89.79150972143492</v>
      </c>
      <c r="F59" s="114">
        <v>30.946729960047957</v>
      </c>
      <c r="G59" s="114">
        <v>11.493275213635542</v>
      </c>
      <c r="H59" s="114">
        <v>8.3474202512122631</v>
      </c>
      <c r="I59" s="114">
        <v>49.43312668641822</v>
      </c>
      <c r="J59" s="114">
        <v>85.199462065393362</v>
      </c>
      <c r="K59" s="114">
        <v>27.546502861243503</v>
      </c>
      <c r="L59" s="114">
        <v>0</v>
      </c>
      <c r="M59" s="114">
        <v>2.1596400371703885</v>
      </c>
      <c r="N59" s="114">
        <v>0</v>
      </c>
      <c r="O59" s="114">
        <v>0</v>
      </c>
      <c r="P59" s="114">
        <v>3.7434858695181195</v>
      </c>
      <c r="Q59" s="114">
        <v>0</v>
      </c>
      <c r="R59" s="114">
        <v>0</v>
      </c>
      <c r="S59" s="114">
        <v>0</v>
      </c>
      <c r="T59" s="114">
        <v>0</v>
      </c>
      <c r="U59" s="114">
        <v>0</v>
      </c>
      <c r="V59" s="114">
        <v>0</v>
      </c>
      <c r="W59" s="114">
        <v>1.6268365886161409</v>
      </c>
      <c r="X59" s="114">
        <v>0</v>
      </c>
      <c r="Y59" s="114">
        <v>0</v>
      </c>
      <c r="AE59" s="99"/>
    </row>
    <row r="60" spans="2:31" x14ac:dyDescent="0.3">
      <c r="B60" s="104" t="s">
        <v>70</v>
      </c>
      <c r="C60" s="105">
        <f t="shared" si="1"/>
        <v>300.74155081908731</v>
      </c>
      <c r="D60" s="114">
        <v>0</v>
      </c>
      <c r="E60" s="114">
        <v>44.378228539475913</v>
      </c>
      <c r="F60" s="114">
        <v>17.480427099686313</v>
      </c>
      <c r="G60" s="114">
        <v>12.962781666125188</v>
      </c>
      <c r="H60" s="114">
        <v>11.469776752350919</v>
      </c>
      <c r="I60" s="114">
        <v>19.744172293747305</v>
      </c>
      <c r="J60" s="114">
        <v>32.308406658062154</v>
      </c>
      <c r="K60" s="114">
        <v>0</v>
      </c>
      <c r="L60" s="114">
        <v>5.6736054449484854</v>
      </c>
      <c r="M60" s="114">
        <v>0</v>
      </c>
      <c r="N60" s="114">
        <v>0</v>
      </c>
      <c r="O60" s="114">
        <v>0</v>
      </c>
      <c r="P60" s="114">
        <v>1.4063045703656398</v>
      </c>
      <c r="Q60" s="114">
        <v>0.71757753086353393</v>
      </c>
      <c r="R60" s="114">
        <v>0</v>
      </c>
      <c r="S60" s="114">
        <v>0</v>
      </c>
      <c r="T60" s="114">
        <v>0</v>
      </c>
      <c r="U60" s="114">
        <v>0</v>
      </c>
      <c r="V60" s="114">
        <v>0</v>
      </c>
      <c r="W60" s="114">
        <v>0</v>
      </c>
      <c r="X60" s="114">
        <v>154.60027026346182</v>
      </c>
      <c r="Y60" s="114">
        <v>0</v>
      </c>
      <c r="AE60" s="99"/>
    </row>
    <row r="61" spans="2:31" x14ac:dyDescent="0.3">
      <c r="B61" s="104" t="s">
        <v>71</v>
      </c>
      <c r="C61" s="105">
        <f t="shared" si="1"/>
        <v>308.63572552498272</v>
      </c>
      <c r="D61" s="114">
        <v>0</v>
      </c>
      <c r="E61" s="114">
        <v>86.192864445618454</v>
      </c>
      <c r="F61" s="114">
        <v>10.85233532897271</v>
      </c>
      <c r="G61" s="114">
        <v>33.254695862610092</v>
      </c>
      <c r="H61" s="114">
        <v>1.731829484654265</v>
      </c>
      <c r="I61" s="114">
        <v>18.144467985915849</v>
      </c>
      <c r="J61" s="114">
        <v>28.720406589358014</v>
      </c>
      <c r="K61" s="114">
        <v>5.5585882957496171</v>
      </c>
      <c r="L61" s="114">
        <v>0</v>
      </c>
      <c r="M61" s="114">
        <v>0</v>
      </c>
      <c r="N61" s="114">
        <v>0</v>
      </c>
      <c r="O61" s="114">
        <v>0</v>
      </c>
      <c r="P61" s="114">
        <v>2.1104781985748735</v>
      </c>
      <c r="Q61" s="114">
        <v>0</v>
      </c>
      <c r="R61" s="114">
        <v>0</v>
      </c>
      <c r="S61" s="114">
        <v>0</v>
      </c>
      <c r="T61" s="114">
        <v>0</v>
      </c>
      <c r="U61" s="114">
        <v>0</v>
      </c>
      <c r="V61" s="114">
        <v>0</v>
      </c>
      <c r="W61" s="114">
        <v>0</v>
      </c>
      <c r="X61" s="114">
        <v>122.07005933352886</v>
      </c>
      <c r="Y61" s="114">
        <v>0</v>
      </c>
      <c r="AE61" s="99"/>
    </row>
    <row r="62" spans="2:31" x14ac:dyDescent="0.3">
      <c r="B62" s="104" t="s">
        <v>72</v>
      </c>
      <c r="C62" s="105">
        <f t="shared" si="1"/>
        <v>304.34723081146586</v>
      </c>
      <c r="D62" s="114">
        <v>0</v>
      </c>
      <c r="E62" s="114">
        <v>95.959062932518009</v>
      </c>
      <c r="F62" s="114">
        <v>18.015451953831171</v>
      </c>
      <c r="G62" s="114">
        <v>0</v>
      </c>
      <c r="H62" s="114">
        <v>6.2572977016457978</v>
      </c>
      <c r="I62" s="114">
        <v>30.03390202424449</v>
      </c>
      <c r="J62" s="114">
        <v>125.52255166026416</v>
      </c>
      <c r="K62" s="114">
        <v>10.211548410075693</v>
      </c>
      <c r="L62" s="114">
        <v>0</v>
      </c>
      <c r="M62" s="114">
        <v>0</v>
      </c>
      <c r="N62" s="114">
        <v>0</v>
      </c>
      <c r="O62" s="114">
        <v>0</v>
      </c>
      <c r="P62" s="114">
        <v>17.737425598172639</v>
      </c>
      <c r="Q62" s="114">
        <v>0</v>
      </c>
      <c r="R62" s="114">
        <v>0.60999053071389031</v>
      </c>
      <c r="S62" s="114">
        <v>0</v>
      </c>
      <c r="T62" s="114">
        <v>0</v>
      </c>
      <c r="U62" s="114">
        <v>0</v>
      </c>
      <c r="V62" s="114">
        <v>0</v>
      </c>
      <c r="W62" s="114">
        <v>0</v>
      </c>
      <c r="X62" s="114">
        <v>0</v>
      </c>
      <c r="Y62" s="114">
        <v>0</v>
      </c>
      <c r="AE62" s="99"/>
    </row>
    <row r="63" spans="2:31" x14ac:dyDescent="0.3">
      <c r="B63" s="104" t="s">
        <v>73</v>
      </c>
      <c r="C63" s="105">
        <f t="shared" si="1"/>
        <v>517.78355361915169</v>
      </c>
      <c r="D63" s="114">
        <v>0</v>
      </c>
      <c r="E63" s="114">
        <v>111.15319596186512</v>
      </c>
      <c r="F63" s="114">
        <v>27.208941128181223</v>
      </c>
      <c r="G63" s="114">
        <v>14.44450083513161</v>
      </c>
      <c r="H63" s="114">
        <v>28.743309230666469</v>
      </c>
      <c r="I63" s="114">
        <v>26.770626266018816</v>
      </c>
      <c r="J63" s="114">
        <v>91.120186201965126</v>
      </c>
      <c r="K63" s="114">
        <v>1.7837962688473898</v>
      </c>
      <c r="L63" s="114">
        <v>3.679703082169377</v>
      </c>
      <c r="M63" s="114">
        <v>0</v>
      </c>
      <c r="N63" s="114">
        <v>0</v>
      </c>
      <c r="O63" s="114">
        <v>0</v>
      </c>
      <c r="P63" s="114">
        <v>0.72345515429812823</v>
      </c>
      <c r="Q63" s="114">
        <v>0</v>
      </c>
      <c r="R63" s="114">
        <v>0</v>
      </c>
      <c r="S63" s="114">
        <v>0</v>
      </c>
      <c r="T63" s="114">
        <v>0</v>
      </c>
      <c r="U63" s="114">
        <v>0</v>
      </c>
      <c r="V63" s="114">
        <v>0</v>
      </c>
      <c r="W63" s="114">
        <v>0</v>
      </c>
      <c r="X63" s="114">
        <v>212.15583949000836</v>
      </c>
      <c r="Y63" s="114">
        <v>0</v>
      </c>
      <c r="AE63" s="99"/>
    </row>
    <row r="64" spans="2:31" x14ac:dyDescent="0.3">
      <c r="B64" s="104" t="s">
        <v>74</v>
      </c>
      <c r="C64" s="105">
        <f t="shared" si="1"/>
        <v>291.32653985241114</v>
      </c>
      <c r="D64" s="114">
        <v>0</v>
      </c>
      <c r="E64" s="114">
        <v>87.238676353553387</v>
      </c>
      <c r="F64" s="114">
        <v>16.802682570330546</v>
      </c>
      <c r="G64" s="114">
        <v>39.058874030400354</v>
      </c>
      <c r="H64" s="114">
        <v>6.9774818830854821</v>
      </c>
      <c r="I64" s="114">
        <v>24.086407332621018</v>
      </c>
      <c r="J64" s="114">
        <v>71.179780387361646</v>
      </c>
      <c r="K64" s="114">
        <v>1.65183352887099</v>
      </c>
      <c r="L64" s="114">
        <v>0</v>
      </c>
      <c r="M64" s="114">
        <v>0</v>
      </c>
      <c r="N64" s="114">
        <v>0</v>
      </c>
      <c r="O64" s="114">
        <v>0</v>
      </c>
      <c r="P64" s="114">
        <v>4.3836504338747284</v>
      </c>
      <c r="Q64" s="114">
        <v>0.55191251378430373</v>
      </c>
      <c r="R64" s="114">
        <v>0</v>
      </c>
      <c r="S64" s="114">
        <v>0</v>
      </c>
      <c r="T64" s="114">
        <v>0</v>
      </c>
      <c r="U64" s="114">
        <v>0</v>
      </c>
      <c r="V64" s="114">
        <v>0</v>
      </c>
      <c r="W64" s="114">
        <v>0</v>
      </c>
      <c r="X64" s="114">
        <v>39.395240818528741</v>
      </c>
      <c r="Y64" s="114">
        <v>0</v>
      </c>
      <c r="AE64" s="99"/>
    </row>
    <row r="65" spans="1:103" x14ac:dyDescent="0.3">
      <c r="B65" s="104" t="s">
        <v>75</v>
      </c>
      <c r="C65" s="105">
        <f t="shared" si="1"/>
        <v>197.70610099450073</v>
      </c>
      <c r="D65" s="114">
        <v>0</v>
      </c>
      <c r="E65" s="114">
        <v>65.216746318114829</v>
      </c>
      <c r="F65" s="114">
        <v>11.182833352401598</v>
      </c>
      <c r="G65" s="114">
        <v>25.282132824411587</v>
      </c>
      <c r="H65" s="114">
        <v>5.0328353037251814</v>
      </c>
      <c r="I65" s="114">
        <v>17.709569837404569</v>
      </c>
      <c r="J65" s="114">
        <v>43.017117945402745</v>
      </c>
      <c r="K65" s="114">
        <v>7.872408687174568</v>
      </c>
      <c r="L65" s="114">
        <v>0</v>
      </c>
      <c r="M65" s="114">
        <v>1.4414095473940525</v>
      </c>
      <c r="N65" s="114">
        <v>0</v>
      </c>
      <c r="O65" s="114">
        <v>0</v>
      </c>
      <c r="P65" s="114">
        <v>8.3346350398207818</v>
      </c>
      <c r="Q65" s="114">
        <v>0.2134176308085225</v>
      </c>
      <c r="R65" s="114">
        <v>0.52073642953408239</v>
      </c>
      <c r="S65" s="114">
        <v>0</v>
      </c>
      <c r="T65" s="114">
        <v>0</v>
      </c>
      <c r="U65" s="114">
        <v>0</v>
      </c>
      <c r="V65" s="114">
        <v>0</v>
      </c>
      <c r="W65" s="114">
        <v>0</v>
      </c>
      <c r="X65" s="114">
        <v>11.882258078308251</v>
      </c>
      <c r="Y65" s="114">
        <v>0</v>
      </c>
      <c r="AE65" s="99"/>
    </row>
    <row r="66" spans="1:103" x14ac:dyDescent="0.3">
      <c r="B66" s="104" t="s">
        <v>76</v>
      </c>
      <c r="C66" s="105">
        <f t="shared" si="1"/>
        <v>270.70459112380394</v>
      </c>
      <c r="D66" s="114">
        <v>0</v>
      </c>
      <c r="E66" s="114">
        <v>15.831082276001034</v>
      </c>
      <c r="F66" s="114">
        <v>10.770459379033646</v>
      </c>
      <c r="G66" s="114">
        <v>12.984789918132932</v>
      </c>
      <c r="H66" s="114">
        <v>3.4831504660678414</v>
      </c>
      <c r="I66" s="114">
        <v>22.114819974748048</v>
      </c>
      <c r="J66" s="114">
        <v>110.0659779515664</v>
      </c>
      <c r="K66" s="114">
        <v>5.2818171379951355</v>
      </c>
      <c r="L66" s="114">
        <v>0</v>
      </c>
      <c r="M66" s="114">
        <v>0</v>
      </c>
      <c r="N66" s="114">
        <v>0</v>
      </c>
      <c r="O66" s="114">
        <v>0</v>
      </c>
      <c r="P66" s="114">
        <v>0.8211912488549109</v>
      </c>
      <c r="Q66" s="114">
        <v>0</v>
      </c>
      <c r="R66" s="114">
        <v>0</v>
      </c>
      <c r="S66" s="114">
        <v>0</v>
      </c>
      <c r="T66" s="114">
        <v>0</v>
      </c>
      <c r="U66" s="114">
        <v>0</v>
      </c>
      <c r="V66" s="114">
        <v>0</v>
      </c>
      <c r="W66" s="114">
        <v>0</v>
      </c>
      <c r="X66" s="114">
        <v>89.351302771403965</v>
      </c>
      <c r="Y66" s="114">
        <v>0</v>
      </c>
      <c r="AE66" s="99"/>
    </row>
    <row r="67" spans="1:103" s="115" customFormat="1" x14ac:dyDescent="0.3">
      <c r="A67" s="113"/>
      <c r="B67" s="104" t="s">
        <v>77</v>
      </c>
      <c r="C67" s="105">
        <f t="shared" si="1"/>
        <v>481.9304359755738</v>
      </c>
      <c r="D67" s="114">
        <v>0</v>
      </c>
      <c r="E67" s="114">
        <v>260.0177207310802</v>
      </c>
      <c r="F67" s="114">
        <v>18.700879705290571</v>
      </c>
      <c r="G67" s="114">
        <v>33.625410634919312</v>
      </c>
      <c r="H67" s="114">
        <v>14.449715280291384</v>
      </c>
      <c r="I67" s="114">
        <v>42.616274518252006</v>
      </c>
      <c r="J67" s="114">
        <v>93.269909302784299</v>
      </c>
      <c r="K67" s="114">
        <v>5.5040140904207497</v>
      </c>
      <c r="L67" s="114">
        <v>10.646270355821256</v>
      </c>
      <c r="M67" s="114">
        <v>1.4062449355016133</v>
      </c>
      <c r="N67" s="114">
        <v>0</v>
      </c>
      <c r="O67" s="114">
        <v>0</v>
      </c>
      <c r="P67" s="114">
        <v>0</v>
      </c>
      <c r="Q67" s="114">
        <v>1.693996421212431</v>
      </c>
      <c r="R67" s="114">
        <v>0</v>
      </c>
      <c r="S67" s="114">
        <v>0</v>
      </c>
      <c r="T67" s="114">
        <v>0</v>
      </c>
      <c r="U67" s="114">
        <v>0</v>
      </c>
      <c r="V67" s="114">
        <v>0</v>
      </c>
      <c r="W67" s="114">
        <v>0</v>
      </c>
      <c r="X67" s="114">
        <v>0</v>
      </c>
      <c r="Y67" s="114">
        <v>0</v>
      </c>
      <c r="Z67" s="99"/>
      <c r="AA67" s="99"/>
      <c r="AB67" s="99"/>
      <c r="AC67" s="99"/>
      <c r="AD67" s="99"/>
      <c r="AE67" s="99"/>
      <c r="AF67" s="99"/>
      <c r="AG67" s="99"/>
      <c r="AH67" s="99"/>
      <c r="AI67" s="99"/>
      <c r="AJ67" s="99"/>
      <c r="AK67" s="99"/>
      <c r="AL67" s="99"/>
      <c r="AM67" s="99"/>
      <c r="AN67" s="99"/>
      <c r="AO67" s="99"/>
      <c r="AP67" s="99"/>
      <c r="AQ67" s="99"/>
      <c r="AR67" s="99"/>
      <c r="AS67" s="99"/>
      <c r="AT67" s="99"/>
      <c r="AU67" s="99"/>
      <c r="AV67" s="99"/>
      <c r="AW67" s="99"/>
      <c r="AX67" s="99"/>
      <c r="AY67" s="99"/>
      <c r="AZ67" s="99"/>
      <c r="BA67" s="99"/>
      <c r="BB67" s="99"/>
      <c r="BC67" s="99"/>
      <c r="BD67" s="99"/>
      <c r="BE67" s="99"/>
      <c r="BF67" s="99"/>
      <c r="BG67" s="99"/>
      <c r="BH67" s="99"/>
      <c r="BI67" s="99"/>
      <c r="BJ67" s="99"/>
      <c r="BK67" s="99"/>
      <c r="BL67" s="99"/>
      <c r="BM67" s="99"/>
      <c r="BN67" s="99"/>
      <c r="BO67" s="99"/>
      <c r="BP67" s="99"/>
      <c r="BQ67" s="99"/>
      <c r="BR67" s="99"/>
      <c r="BS67" s="99"/>
      <c r="BT67" s="99"/>
      <c r="BU67" s="99"/>
      <c r="BV67" s="99"/>
      <c r="BW67" s="99"/>
      <c r="BX67" s="99"/>
      <c r="BY67" s="99"/>
      <c r="BZ67" s="99"/>
      <c r="CA67" s="99"/>
      <c r="CB67" s="99"/>
      <c r="CC67" s="99"/>
      <c r="CD67" s="99"/>
      <c r="CE67" s="99"/>
      <c r="CF67" s="99"/>
      <c r="CG67" s="99"/>
      <c r="CH67" s="99"/>
      <c r="CI67" s="99"/>
      <c r="CJ67" s="99"/>
      <c r="CK67" s="99"/>
      <c r="CL67" s="99"/>
      <c r="CM67" s="99"/>
      <c r="CN67" s="99"/>
      <c r="CO67" s="99"/>
      <c r="CP67" s="99"/>
      <c r="CQ67" s="99"/>
      <c r="CR67" s="99"/>
      <c r="CS67" s="99"/>
      <c r="CT67" s="99"/>
      <c r="CU67" s="99"/>
      <c r="CV67" s="99"/>
      <c r="CW67" s="99"/>
      <c r="CX67" s="99"/>
      <c r="CY67" s="99"/>
    </row>
    <row r="68" spans="1:103" s="115" customFormat="1" x14ac:dyDescent="0.3">
      <c r="A68" s="113"/>
      <c r="B68" s="104" t="s">
        <v>78</v>
      </c>
      <c r="C68" s="105">
        <f t="shared" si="1"/>
        <v>37.68711983842811</v>
      </c>
      <c r="D68" s="114">
        <v>0</v>
      </c>
      <c r="E68" s="114">
        <v>30.890368078316147</v>
      </c>
      <c r="F68" s="114">
        <v>0</v>
      </c>
      <c r="G68" s="114">
        <v>0</v>
      </c>
      <c r="H68" s="114">
        <v>0</v>
      </c>
      <c r="I68" s="114">
        <v>0</v>
      </c>
      <c r="J68" s="114">
        <v>0</v>
      </c>
      <c r="K68" s="114">
        <v>2.3004423054932355</v>
      </c>
      <c r="L68" s="114">
        <v>0</v>
      </c>
      <c r="M68" s="114">
        <v>0</v>
      </c>
      <c r="N68" s="114">
        <v>0</v>
      </c>
      <c r="O68" s="114">
        <v>0</v>
      </c>
      <c r="P68" s="114">
        <v>3.94</v>
      </c>
      <c r="Q68" s="114">
        <v>0.55630945461872638</v>
      </c>
      <c r="R68" s="114">
        <v>0</v>
      </c>
      <c r="S68" s="114">
        <v>0</v>
      </c>
      <c r="T68" s="114">
        <v>0</v>
      </c>
      <c r="U68" s="114">
        <v>0</v>
      </c>
      <c r="V68" s="114">
        <v>0</v>
      </c>
      <c r="W68" s="114">
        <v>0</v>
      </c>
      <c r="X68" s="114">
        <v>0</v>
      </c>
      <c r="Y68" s="114">
        <v>0</v>
      </c>
      <c r="Z68" s="99"/>
      <c r="AA68" s="99"/>
      <c r="AB68" s="99"/>
      <c r="AC68" s="99"/>
      <c r="AD68" s="99"/>
      <c r="AE68" s="99"/>
      <c r="AF68" s="99"/>
      <c r="AG68" s="99"/>
      <c r="AH68" s="99"/>
      <c r="AI68" s="99"/>
      <c r="AJ68" s="99"/>
      <c r="AK68" s="99"/>
      <c r="AL68" s="99"/>
      <c r="AM68" s="99"/>
      <c r="AN68" s="99"/>
      <c r="AO68" s="99"/>
      <c r="AP68" s="99"/>
      <c r="AQ68" s="99"/>
      <c r="AR68" s="99"/>
      <c r="AS68" s="99"/>
      <c r="AT68" s="99"/>
      <c r="AU68" s="99"/>
      <c r="AV68" s="99"/>
      <c r="AW68" s="99"/>
      <c r="AX68" s="99"/>
      <c r="AY68" s="99"/>
      <c r="AZ68" s="99"/>
      <c r="BA68" s="99"/>
      <c r="BB68" s="99"/>
      <c r="BC68" s="99"/>
      <c r="BD68" s="99"/>
      <c r="BE68" s="99"/>
      <c r="BF68" s="99"/>
      <c r="BG68" s="99"/>
      <c r="BH68" s="99"/>
      <c r="BI68" s="99"/>
      <c r="BJ68" s="99"/>
      <c r="BK68" s="99"/>
      <c r="BL68" s="99"/>
      <c r="BM68" s="99"/>
      <c r="BN68" s="99"/>
      <c r="BO68" s="99"/>
      <c r="BP68" s="99"/>
      <c r="BQ68" s="99"/>
      <c r="BR68" s="99"/>
      <c r="BS68" s="99"/>
      <c r="BT68" s="99"/>
      <c r="BU68" s="99"/>
      <c r="BV68" s="99"/>
      <c r="BW68" s="99"/>
      <c r="BX68" s="99"/>
      <c r="BY68" s="99"/>
      <c r="BZ68" s="99"/>
      <c r="CA68" s="99"/>
      <c r="CB68" s="99"/>
      <c r="CC68" s="99"/>
      <c r="CD68" s="99"/>
      <c r="CE68" s="99"/>
      <c r="CF68" s="99"/>
      <c r="CG68" s="99"/>
      <c r="CH68" s="99"/>
      <c r="CI68" s="99"/>
      <c r="CJ68" s="99"/>
      <c r="CK68" s="99"/>
      <c r="CL68" s="99"/>
      <c r="CM68" s="99"/>
      <c r="CN68" s="99"/>
      <c r="CO68" s="99"/>
      <c r="CP68" s="99"/>
      <c r="CQ68" s="99"/>
      <c r="CR68" s="99"/>
      <c r="CS68" s="99"/>
      <c r="CT68" s="99"/>
      <c r="CU68" s="99"/>
      <c r="CV68" s="99"/>
      <c r="CW68" s="99"/>
      <c r="CX68" s="99"/>
      <c r="CY68" s="99"/>
    </row>
    <row r="69" spans="1:103" s="115" customFormat="1" x14ac:dyDescent="0.3">
      <c r="A69" s="113"/>
      <c r="B69" s="104" t="s">
        <v>79</v>
      </c>
      <c r="C69" s="105">
        <f t="shared" ref="C69:C96" si="2">SUM(D69:AE69)</f>
        <v>192.83233962445615</v>
      </c>
      <c r="D69" s="114">
        <v>0</v>
      </c>
      <c r="E69" s="114">
        <v>16.66957841103666</v>
      </c>
      <c r="F69" s="114">
        <v>3.6280862325703662</v>
      </c>
      <c r="G69" s="114">
        <v>21.577782209751781</v>
      </c>
      <c r="H69" s="114">
        <v>3.3159762444184864</v>
      </c>
      <c r="I69" s="114">
        <v>5.0237513146142163</v>
      </c>
      <c r="J69" s="114">
        <v>25.055123674943811</v>
      </c>
      <c r="K69" s="114">
        <v>0</v>
      </c>
      <c r="L69" s="114">
        <v>0</v>
      </c>
      <c r="M69" s="114">
        <v>0</v>
      </c>
      <c r="N69" s="114">
        <v>0</v>
      </c>
      <c r="O69" s="114">
        <v>0</v>
      </c>
      <c r="P69" s="114">
        <v>113</v>
      </c>
      <c r="Q69" s="114">
        <v>3.0738689934377605</v>
      </c>
      <c r="R69" s="114">
        <v>1.4881725436830453</v>
      </c>
      <c r="S69" s="114">
        <v>0</v>
      </c>
      <c r="T69" s="114">
        <v>0</v>
      </c>
      <c r="U69" s="114">
        <v>0</v>
      </c>
      <c r="V69" s="114">
        <v>0</v>
      </c>
      <c r="W69" s="114">
        <v>0</v>
      </c>
      <c r="X69" s="114">
        <v>0</v>
      </c>
      <c r="Y69" s="114">
        <v>0</v>
      </c>
      <c r="Z69" s="99"/>
      <c r="AA69" s="99"/>
      <c r="AB69" s="99"/>
      <c r="AC69" s="99"/>
      <c r="AD69" s="99"/>
      <c r="AE69" s="99"/>
      <c r="AF69" s="99"/>
      <c r="AG69" s="99"/>
      <c r="AH69" s="99"/>
      <c r="AI69" s="99"/>
      <c r="AJ69" s="99"/>
      <c r="AK69" s="99"/>
      <c r="AL69" s="99"/>
      <c r="AM69" s="99"/>
      <c r="AN69" s="99"/>
      <c r="AO69" s="99"/>
      <c r="AP69" s="99"/>
      <c r="AQ69" s="99"/>
      <c r="AR69" s="99"/>
      <c r="AS69" s="99"/>
      <c r="AT69" s="99"/>
      <c r="AU69" s="99"/>
      <c r="AV69" s="99"/>
      <c r="AW69" s="99"/>
      <c r="AX69" s="99"/>
      <c r="AY69" s="99"/>
      <c r="AZ69" s="99"/>
      <c r="BA69" s="99"/>
      <c r="BB69" s="99"/>
      <c r="BC69" s="99"/>
      <c r="BD69" s="99"/>
      <c r="BE69" s="99"/>
      <c r="BF69" s="99"/>
      <c r="BG69" s="99"/>
      <c r="BH69" s="99"/>
      <c r="BI69" s="99"/>
      <c r="BJ69" s="99"/>
      <c r="BK69" s="99"/>
      <c r="BL69" s="99"/>
      <c r="BM69" s="99"/>
      <c r="BN69" s="99"/>
      <c r="BO69" s="99"/>
      <c r="BP69" s="99"/>
      <c r="BQ69" s="99"/>
      <c r="BR69" s="99"/>
      <c r="BS69" s="99"/>
      <c r="BT69" s="99"/>
      <c r="BU69" s="99"/>
      <c r="BV69" s="99"/>
      <c r="BW69" s="99"/>
      <c r="BX69" s="99"/>
      <c r="BY69" s="99"/>
      <c r="BZ69" s="99"/>
      <c r="CA69" s="99"/>
      <c r="CB69" s="99"/>
      <c r="CC69" s="99"/>
      <c r="CD69" s="99"/>
      <c r="CE69" s="99"/>
      <c r="CF69" s="99"/>
      <c r="CG69" s="99"/>
      <c r="CH69" s="99"/>
      <c r="CI69" s="99"/>
      <c r="CJ69" s="99"/>
      <c r="CK69" s="99"/>
      <c r="CL69" s="99"/>
      <c r="CM69" s="99"/>
      <c r="CN69" s="99"/>
      <c r="CO69" s="99"/>
      <c r="CP69" s="99"/>
      <c r="CQ69" s="99"/>
      <c r="CR69" s="99"/>
      <c r="CS69" s="99"/>
      <c r="CT69" s="99"/>
      <c r="CU69" s="99"/>
      <c r="CV69" s="99"/>
      <c r="CW69" s="99"/>
      <c r="CX69" s="99"/>
      <c r="CY69" s="99"/>
    </row>
    <row r="70" spans="1:103" s="115" customFormat="1" x14ac:dyDescent="0.3">
      <c r="A70" s="113"/>
      <c r="B70" s="104" t="s">
        <v>80</v>
      </c>
      <c r="C70" s="105">
        <f t="shared" si="2"/>
        <v>47.146264574542272</v>
      </c>
      <c r="D70" s="114">
        <v>0</v>
      </c>
      <c r="E70" s="114">
        <v>7.3931043231998057</v>
      </c>
      <c r="F70" s="114">
        <v>0</v>
      </c>
      <c r="G70" s="114">
        <v>0</v>
      </c>
      <c r="H70" s="114">
        <v>0</v>
      </c>
      <c r="I70" s="114">
        <v>4.6991232965191685</v>
      </c>
      <c r="J70" s="114">
        <v>0</v>
      </c>
      <c r="K70" s="114">
        <v>0</v>
      </c>
      <c r="L70" s="114">
        <v>0</v>
      </c>
      <c r="M70" s="114">
        <v>0</v>
      </c>
      <c r="N70" s="114">
        <v>0</v>
      </c>
      <c r="O70" s="114">
        <v>0</v>
      </c>
      <c r="P70" s="114">
        <v>30.9</v>
      </c>
      <c r="Q70" s="114">
        <v>0.91979392640143542</v>
      </c>
      <c r="R70" s="114">
        <v>0</v>
      </c>
      <c r="S70" s="114">
        <v>0</v>
      </c>
      <c r="T70" s="114">
        <v>0</v>
      </c>
      <c r="U70" s="114">
        <v>0</v>
      </c>
      <c r="V70" s="114">
        <v>0</v>
      </c>
      <c r="W70" s="114">
        <v>0</v>
      </c>
      <c r="X70" s="114">
        <v>3.2342430284218686</v>
      </c>
      <c r="Y70" s="114">
        <v>0</v>
      </c>
      <c r="Z70" s="99"/>
      <c r="AA70" s="99"/>
      <c r="AB70" s="99"/>
      <c r="AC70" s="99"/>
      <c r="AD70" s="99"/>
      <c r="AE70" s="99"/>
      <c r="AF70" s="99"/>
      <c r="AG70" s="99"/>
      <c r="AH70" s="99"/>
      <c r="AI70" s="99"/>
      <c r="AJ70" s="99"/>
      <c r="AK70" s="99"/>
      <c r="AL70" s="99"/>
      <c r="AM70" s="99"/>
      <c r="AN70" s="99"/>
      <c r="AO70" s="99"/>
      <c r="AP70" s="99"/>
      <c r="AQ70" s="99"/>
      <c r="AR70" s="99"/>
      <c r="AS70" s="99"/>
      <c r="AT70" s="99"/>
      <c r="AU70" s="99"/>
      <c r="AV70" s="99"/>
      <c r="AW70" s="99"/>
      <c r="AX70" s="99"/>
      <c r="AY70" s="99"/>
      <c r="AZ70" s="99"/>
      <c r="BA70" s="99"/>
      <c r="BB70" s="99"/>
      <c r="BC70" s="99"/>
      <c r="BD70" s="99"/>
      <c r="BE70" s="99"/>
      <c r="BF70" s="99"/>
      <c r="BG70" s="99"/>
      <c r="BH70" s="99"/>
      <c r="BI70" s="99"/>
      <c r="BJ70" s="99"/>
      <c r="BK70" s="99"/>
      <c r="BL70" s="99"/>
      <c r="BM70" s="99"/>
      <c r="BN70" s="99"/>
      <c r="BO70" s="99"/>
      <c r="BP70" s="99"/>
      <c r="BQ70" s="99"/>
      <c r="BR70" s="99"/>
      <c r="BS70" s="99"/>
      <c r="BT70" s="99"/>
      <c r="BU70" s="99"/>
      <c r="BV70" s="99"/>
      <c r="BW70" s="99"/>
      <c r="BX70" s="99"/>
      <c r="BY70" s="99"/>
      <c r="BZ70" s="99"/>
      <c r="CA70" s="99"/>
      <c r="CB70" s="99"/>
      <c r="CC70" s="99"/>
      <c r="CD70" s="99"/>
      <c r="CE70" s="99"/>
      <c r="CF70" s="99"/>
      <c r="CG70" s="99"/>
      <c r="CH70" s="99"/>
      <c r="CI70" s="99"/>
      <c r="CJ70" s="99"/>
      <c r="CK70" s="99"/>
      <c r="CL70" s="99"/>
      <c r="CM70" s="99"/>
      <c r="CN70" s="99"/>
      <c r="CO70" s="99"/>
      <c r="CP70" s="99"/>
      <c r="CQ70" s="99"/>
      <c r="CR70" s="99"/>
      <c r="CS70" s="99"/>
      <c r="CT70" s="99"/>
      <c r="CU70" s="99"/>
      <c r="CV70" s="99"/>
      <c r="CW70" s="99"/>
      <c r="CX70" s="99"/>
      <c r="CY70" s="99"/>
    </row>
    <row r="71" spans="1:103" s="115" customFormat="1" x14ac:dyDescent="0.3">
      <c r="A71" s="113"/>
      <c r="B71" s="104" t="s">
        <v>81</v>
      </c>
      <c r="C71" s="105">
        <f t="shared" si="2"/>
        <v>79.391912018349075</v>
      </c>
      <c r="D71" s="114">
        <v>0</v>
      </c>
      <c r="E71" s="114">
        <v>12.350057406950532</v>
      </c>
      <c r="F71" s="114">
        <v>14.17420699038591</v>
      </c>
      <c r="G71" s="114">
        <v>6.3314269796133473</v>
      </c>
      <c r="H71" s="114">
        <v>14.606594680057393</v>
      </c>
      <c r="I71" s="114">
        <v>8.3033652651083827</v>
      </c>
      <c r="J71" s="114">
        <v>13.847997338710995</v>
      </c>
      <c r="K71" s="114">
        <v>0</v>
      </c>
      <c r="L71" s="114">
        <v>0</v>
      </c>
      <c r="M71" s="114">
        <v>0</v>
      </c>
      <c r="N71" s="114">
        <v>0</v>
      </c>
      <c r="O71" s="114">
        <v>0</v>
      </c>
      <c r="P71" s="114">
        <v>8.5</v>
      </c>
      <c r="Q71" s="114">
        <v>1.27826335752252</v>
      </c>
      <c r="R71" s="114">
        <v>0</v>
      </c>
      <c r="S71" s="114">
        <v>0</v>
      </c>
      <c r="T71" s="114">
        <v>0</v>
      </c>
      <c r="U71" s="114">
        <v>0</v>
      </c>
      <c r="V71" s="114">
        <v>0</v>
      </c>
      <c r="W71" s="114">
        <v>0</v>
      </c>
      <c r="X71" s="114">
        <v>0</v>
      </c>
      <c r="Y71" s="114">
        <v>0</v>
      </c>
      <c r="Z71" s="99"/>
      <c r="AA71" s="99"/>
      <c r="AB71" s="99"/>
      <c r="AC71" s="99"/>
      <c r="AD71" s="99"/>
      <c r="AE71" s="99"/>
      <c r="AF71" s="99"/>
      <c r="AG71" s="99"/>
      <c r="AH71" s="99"/>
      <c r="AI71" s="99"/>
      <c r="AJ71" s="99"/>
      <c r="AK71" s="99"/>
      <c r="AL71" s="99"/>
      <c r="AM71" s="99"/>
      <c r="AN71" s="99"/>
      <c r="AO71" s="99"/>
      <c r="AP71" s="99"/>
      <c r="AQ71" s="99"/>
      <c r="AR71" s="99"/>
      <c r="AS71" s="99"/>
      <c r="AT71" s="99"/>
      <c r="AU71" s="99"/>
      <c r="AV71" s="99"/>
      <c r="AW71" s="99"/>
      <c r="AX71" s="99"/>
      <c r="AY71" s="99"/>
      <c r="AZ71" s="99"/>
      <c r="BA71" s="99"/>
      <c r="BB71" s="99"/>
      <c r="BC71" s="99"/>
      <c r="BD71" s="99"/>
      <c r="BE71" s="99"/>
      <c r="BF71" s="99"/>
      <c r="BG71" s="99"/>
      <c r="BH71" s="99"/>
      <c r="BI71" s="99"/>
      <c r="BJ71" s="99"/>
      <c r="BK71" s="99"/>
      <c r="BL71" s="99"/>
      <c r="BM71" s="99"/>
      <c r="BN71" s="99"/>
      <c r="BO71" s="99"/>
      <c r="BP71" s="99"/>
      <c r="BQ71" s="99"/>
      <c r="BR71" s="99"/>
      <c r="BS71" s="99"/>
      <c r="BT71" s="99"/>
      <c r="BU71" s="99"/>
      <c r="BV71" s="99"/>
      <c r="BW71" s="99"/>
      <c r="BX71" s="99"/>
      <c r="BY71" s="99"/>
      <c r="BZ71" s="99"/>
      <c r="CA71" s="99"/>
      <c r="CB71" s="99"/>
      <c r="CC71" s="99"/>
      <c r="CD71" s="99"/>
      <c r="CE71" s="99"/>
      <c r="CF71" s="99"/>
      <c r="CG71" s="99"/>
      <c r="CH71" s="99"/>
      <c r="CI71" s="99"/>
      <c r="CJ71" s="99"/>
      <c r="CK71" s="99"/>
      <c r="CL71" s="99"/>
      <c r="CM71" s="99"/>
      <c r="CN71" s="99"/>
      <c r="CO71" s="99"/>
      <c r="CP71" s="99"/>
      <c r="CQ71" s="99"/>
      <c r="CR71" s="99"/>
      <c r="CS71" s="99"/>
      <c r="CT71" s="99"/>
      <c r="CU71" s="99"/>
      <c r="CV71" s="99"/>
      <c r="CW71" s="99"/>
      <c r="CX71" s="99"/>
      <c r="CY71" s="99"/>
    </row>
    <row r="72" spans="1:103" s="115" customFormat="1" x14ac:dyDescent="0.3">
      <c r="A72" s="113"/>
      <c r="B72" s="104" t="s">
        <v>82</v>
      </c>
      <c r="C72" s="105">
        <f t="shared" si="2"/>
        <v>233.31663478341622</v>
      </c>
      <c r="D72" s="114">
        <v>0</v>
      </c>
      <c r="E72" s="114">
        <v>154.43943652867969</v>
      </c>
      <c r="F72" s="114">
        <v>9.7225638109394943</v>
      </c>
      <c r="G72" s="114">
        <v>10.489957790999055</v>
      </c>
      <c r="H72" s="114">
        <v>2.8625324570926525</v>
      </c>
      <c r="I72" s="114">
        <v>1.8059266299028636</v>
      </c>
      <c r="J72" s="114">
        <v>35.861810158455562</v>
      </c>
      <c r="K72" s="114">
        <v>6.0207927620018102</v>
      </c>
      <c r="L72" s="114">
        <v>0</v>
      </c>
      <c r="M72" s="114">
        <v>4.387953382655251</v>
      </c>
      <c r="N72" s="114">
        <v>0</v>
      </c>
      <c r="O72" s="114">
        <v>0</v>
      </c>
      <c r="P72" s="114">
        <v>0</v>
      </c>
      <c r="Q72" s="114">
        <v>2.1025911279798706</v>
      </c>
      <c r="R72" s="114">
        <v>1.0758352417361561</v>
      </c>
      <c r="S72" s="114">
        <v>4.5472348929738242</v>
      </c>
      <c r="T72" s="114">
        <v>0</v>
      </c>
      <c r="U72" s="114">
        <v>0</v>
      </c>
      <c r="V72" s="114">
        <v>0</v>
      </c>
      <c r="W72" s="114">
        <v>0</v>
      </c>
      <c r="X72" s="114">
        <v>0</v>
      </c>
      <c r="Y72" s="114">
        <v>0</v>
      </c>
      <c r="Z72" s="99"/>
      <c r="AA72" s="99"/>
      <c r="AB72" s="99"/>
      <c r="AC72" s="99"/>
      <c r="AD72" s="99"/>
      <c r="AE72" s="99"/>
      <c r="AF72" s="99"/>
      <c r="AG72" s="99"/>
      <c r="AH72" s="99"/>
      <c r="AI72" s="99"/>
      <c r="AJ72" s="99"/>
      <c r="AK72" s="99"/>
      <c r="AL72" s="99"/>
      <c r="AM72" s="99"/>
      <c r="AN72" s="99"/>
      <c r="AO72" s="99"/>
      <c r="AP72" s="99"/>
      <c r="AQ72" s="99"/>
      <c r="AR72" s="99"/>
      <c r="AS72" s="99"/>
      <c r="AT72" s="99"/>
      <c r="AU72" s="99"/>
      <c r="AV72" s="99"/>
      <c r="AW72" s="99"/>
      <c r="AX72" s="99"/>
      <c r="AY72" s="99"/>
      <c r="AZ72" s="99"/>
      <c r="BA72" s="99"/>
      <c r="BB72" s="99"/>
      <c r="BC72" s="99"/>
      <c r="BD72" s="99"/>
      <c r="BE72" s="99"/>
      <c r="BF72" s="99"/>
      <c r="BG72" s="99"/>
      <c r="BH72" s="99"/>
      <c r="BI72" s="99"/>
      <c r="BJ72" s="99"/>
      <c r="BK72" s="99"/>
      <c r="BL72" s="99"/>
      <c r="BM72" s="99"/>
      <c r="BN72" s="99"/>
      <c r="BO72" s="99"/>
      <c r="BP72" s="99"/>
      <c r="BQ72" s="99"/>
      <c r="BR72" s="99"/>
      <c r="BS72" s="99"/>
      <c r="BT72" s="99"/>
      <c r="BU72" s="99"/>
      <c r="BV72" s="99"/>
      <c r="BW72" s="99"/>
      <c r="BX72" s="99"/>
      <c r="BY72" s="99"/>
      <c r="BZ72" s="99"/>
      <c r="CA72" s="99"/>
      <c r="CB72" s="99"/>
      <c r="CC72" s="99"/>
      <c r="CD72" s="99"/>
      <c r="CE72" s="99"/>
      <c r="CF72" s="99"/>
      <c r="CG72" s="99"/>
      <c r="CH72" s="99"/>
      <c r="CI72" s="99"/>
      <c r="CJ72" s="99"/>
      <c r="CK72" s="99"/>
      <c r="CL72" s="99"/>
      <c r="CM72" s="99"/>
      <c r="CN72" s="99"/>
      <c r="CO72" s="99"/>
      <c r="CP72" s="99"/>
      <c r="CQ72" s="99"/>
      <c r="CR72" s="99"/>
      <c r="CS72" s="99"/>
      <c r="CT72" s="99"/>
      <c r="CU72" s="99"/>
      <c r="CV72" s="99"/>
      <c r="CW72" s="99"/>
      <c r="CX72" s="99"/>
      <c r="CY72" s="99"/>
    </row>
    <row r="73" spans="1:103" s="115" customFormat="1" x14ac:dyDescent="0.3">
      <c r="A73" s="113"/>
      <c r="B73" s="104" t="s">
        <v>83</v>
      </c>
      <c r="C73" s="105">
        <f t="shared" si="2"/>
        <v>110.85320347129515</v>
      </c>
      <c r="D73" s="114">
        <v>0</v>
      </c>
      <c r="E73" s="114">
        <v>20.065599308609556</v>
      </c>
      <c r="F73" s="114">
        <v>0</v>
      </c>
      <c r="G73" s="114">
        <v>0</v>
      </c>
      <c r="H73" s="114">
        <v>0</v>
      </c>
      <c r="I73" s="114">
        <v>0</v>
      </c>
      <c r="J73" s="114">
        <v>0</v>
      </c>
      <c r="K73" s="114">
        <v>0</v>
      </c>
      <c r="L73" s="114">
        <v>0</v>
      </c>
      <c r="M73" s="114">
        <v>0</v>
      </c>
      <c r="N73" s="114">
        <v>0</v>
      </c>
      <c r="O73" s="114">
        <v>0</v>
      </c>
      <c r="P73" s="114">
        <v>86.2</v>
      </c>
      <c r="Q73" s="114">
        <v>3.4321714031305093</v>
      </c>
      <c r="R73" s="114">
        <v>1.1554327595550777</v>
      </c>
      <c r="S73" s="114">
        <v>0</v>
      </c>
      <c r="T73" s="114">
        <v>0</v>
      </c>
      <c r="U73" s="114">
        <v>0</v>
      </c>
      <c r="V73" s="114">
        <v>0</v>
      </c>
      <c r="W73" s="114">
        <v>0</v>
      </c>
      <c r="X73" s="114">
        <v>0</v>
      </c>
      <c r="Y73" s="114">
        <v>0</v>
      </c>
      <c r="Z73" s="99"/>
      <c r="AA73" s="99"/>
      <c r="AB73" s="99"/>
      <c r="AC73" s="99"/>
      <c r="AD73" s="99"/>
      <c r="AE73" s="99"/>
      <c r="AF73" s="99"/>
      <c r="AG73" s="99"/>
      <c r="AH73" s="99"/>
      <c r="AI73" s="99"/>
      <c r="AJ73" s="99"/>
      <c r="AK73" s="99"/>
      <c r="AL73" s="99"/>
      <c r="AM73" s="99"/>
      <c r="AN73" s="99"/>
      <c r="AO73" s="99"/>
      <c r="AP73" s="99"/>
      <c r="AQ73" s="99"/>
      <c r="AR73" s="99"/>
      <c r="AS73" s="99"/>
      <c r="AT73" s="99"/>
      <c r="AU73" s="99"/>
      <c r="AV73" s="99"/>
      <c r="AW73" s="99"/>
      <c r="AX73" s="99"/>
      <c r="AY73" s="99"/>
      <c r="AZ73" s="99"/>
      <c r="BA73" s="99"/>
      <c r="BB73" s="99"/>
      <c r="BC73" s="99"/>
      <c r="BD73" s="99"/>
      <c r="BE73" s="99"/>
      <c r="BF73" s="99"/>
      <c r="BG73" s="99"/>
      <c r="BH73" s="99"/>
      <c r="BI73" s="99"/>
      <c r="BJ73" s="99"/>
      <c r="BK73" s="99"/>
      <c r="BL73" s="99"/>
      <c r="BM73" s="99"/>
      <c r="BN73" s="99"/>
      <c r="BO73" s="99"/>
      <c r="BP73" s="99"/>
      <c r="BQ73" s="99"/>
      <c r="BR73" s="99"/>
      <c r="BS73" s="99"/>
      <c r="BT73" s="99"/>
      <c r="BU73" s="99"/>
      <c r="BV73" s="99"/>
      <c r="BW73" s="99"/>
      <c r="BX73" s="99"/>
      <c r="BY73" s="99"/>
      <c r="BZ73" s="99"/>
      <c r="CA73" s="99"/>
      <c r="CB73" s="99"/>
      <c r="CC73" s="99"/>
      <c r="CD73" s="99"/>
      <c r="CE73" s="99"/>
      <c r="CF73" s="99"/>
      <c r="CG73" s="99"/>
      <c r="CH73" s="99"/>
      <c r="CI73" s="99"/>
      <c r="CJ73" s="99"/>
      <c r="CK73" s="99"/>
      <c r="CL73" s="99"/>
      <c r="CM73" s="99"/>
      <c r="CN73" s="99"/>
      <c r="CO73" s="99"/>
      <c r="CP73" s="99"/>
      <c r="CQ73" s="99"/>
      <c r="CR73" s="99"/>
      <c r="CS73" s="99"/>
      <c r="CT73" s="99"/>
      <c r="CU73" s="99"/>
      <c r="CV73" s="99"/>
      <c r="CW73" s="99"/>
      <c r="CX73" s="99"/>
      <c r="CY73" s="99"/>
    </row>
    <row r="74" spans="1:103" s="115" customFormat="1" x14ac:dyDescent="0.3">
      <c r="A74" s="113"/>
      <c r="B74" s="104" t="s">
        <v>49</v>
      </c>
      <c r="C74" s="105">
        <f t="shared" si="2"/>
        <v>106.55607371932189</v>
      </c>
      <c r="D74" s="114">
        <v>0</v>
      </c>
      <c r="E74" s="114">
        <v>31.166400127786236</v>
      </c>
      <c r="F74" s="114">
        <v>2.8681651738875926</v>
      </c>
      <c r="G74" s="114">
        <v>5.8914142280615547</v>
      </c>
      <c r="H74" s="114">
        <v>13.017421461187377</v>
      </c>
      <c r="I74" s="114">
        <v>28.634032364606337</v>
      </c>
      <c r="J74" s="114">
        <v>6.3529289689912058</v>
      </c>
      <c r="K74" s="114">
        <v>0</v>
      </c>
      <c r="L74" s="114">
        <v>11.351296509633233</v>
      </c>
      <c r="M74" s="114">
        <v>0</v>
      </c>
      <c r="N74" s="114">
        <v>0</v>
      </c>
      <c r="O74" s="114">
        <v>0</v>
      </c>
      <c r="P74" s="114">
        <v>3.8</v>
      </c>
      <c r="Q74" s="114">
        <v>0.21681150087618661</v>
      </c>
      <c r="R74" s="114">
        <v>2.9533091591414373E-2</v>
      </c>
      <c r="S74" s="114">
        <v>2.5588352408714297</v>
      </c>
      <c r="T74" s="114">
        <v>0</v>
      </c>
      <c r="U74" s="114">
        <v>0</v>
      </c>
      <c r="V74" s="114">
        <v>0</v>
      </c>
      <c r="W74" s="114">
        <v>0</v>
      </c>
      <c r="X74" s="114">
        <v>0.66923505182931553</v>
      </c>
      <c r="Y74" s="114">
        <v>0</v>
      </c>
      <c r="Z74" s="99"/>
      <c r="AA74" s="99"/>
      <c r="AB74" s="99"/>
      <c r="AC74" s="99"/>
      <c r="AD74" s="99"/>
      <c r="AE74" s="99"/>
      <c r="AF74" s="99"/>
      <c r="AG74" s="99"/>
      <c r="AH74" s="99"/>
      <c r="AI74" s="99"/>
      <c r="AJ74" s="99"/>
      <c r="AK74" s="99"/>
      <c r="AL74" s="99"/>
      <c r="AM74" s="99"/>
      <c r="AN74" s="99"/>
      <c r="AO74" s="99"/>
      <c r="AP74" s="99"/>
      <c r="AQ74" s="99"/>
      <c r="AR74" s="99"/>
      <c r="AS74" s="99"/>
      <c r="AT74" s="99"/>
      <c r="AU74" s="99"/>
      <c r="AV74" s="99"/>
      <c r="AW74" s="99"/>
      <c r="AX74" s="99"/>
      <c r="AY74" s="99"/>
      <c r="AZ74" s="99"/>
      <c r="BA74" s="99"/>
      <c r="BB74" s="99"/>
      <c r="BC74" s="99"/>
      <c r="BD74" s="99"/>
      <c r="BE74" s="99"/>
      <c r="BF74" s="99"/>
      <c r="BG74" s="99"/>
      <c r="BH74" s="99"/>
      <c r="BI74" s="99"/>
      <c r="BJ74" s="99"/>
      <c r="BK74" s="99"/>
      <c r="BL74" s="99"/>
      <c r="BM74" s="99"/>
      <c r="BN74" s="99"/>
      <c r="BO74" s="99"/>
      <c r="BP74" s="99"/>
      <c r="BQ74" s="99"/>
      <c r="BR74" s="99"/>
      <c r="BS74" s="99"/>
      <c r="BT74" s="99"/>
      <c r="BU74" s="99"/>
      <c r="BV74" s="99"/>
      <c r="BW74" s="99"/>
      <c r="BX74" s="99"/>
      <c r="BY74" s="99"/>
      <c r="BZ74" s="99"/>
      <c r="CA74" s="99"/>
      <c r="CB74" s="99"/>
      <c r="CC74" s="99"/>
      <c r="CD74" s="99"/>
      <c r="CE74" s="99"/>
      <c r="CF74" s="99"/>
      <c r="CG74" s="99"/>
      <c r="CH74" s="99"/>
      <c r="CI74" s="99"/>
      <c r="CJ74" s="99"/>
      <c r="CK74" s="99"/>
      <c r="CL74" s="99"/>
      <c r="CM74" s="99"/>
      <c r="CN74" s="99"/>
      <c r="CO74" s="99"/>
      <c r="CP74" s="99"/>
      <c r="CQ74" s="99"/>
      <c r="CR74" s="99"/>
      <c r="CS74" s="99"/>
      <c r="CT74" s="99"/>
      <c r="CU74" s="99"/>
      <c r="CV74" s="99"/>
      <c r="CW74" s="99"/>
      <c r="CX74" s="99"/>
      <c r="CY74" s="99"/>
    </row>
    <row r="75" spans="1:103" s="115" customFormat="1" x14ac:dyDescent="0.3">
      <c r="A75" s="113"/>
      <c r="B75" s="104" t="s">
        <v>84</v>
      </c>
      <c r="C75" s="105">
        <f t="shared" si="2"/>
        <v>297.76904971404485</v>
      </c>
      <c r="D75" s="114">
        <v>0</v>
      </c>
      <c r="E75" s="114">
        <v>128.02690138991744</v>
      </c>
      <c r="F75" s="114">
        <v>11.49060842153188</v>
      </c>
      <c r="G75" s="114">
        <v>55.538192538379626</v>
      </c>
      <c r="H75" s="114">
        <v>14.957717022204868</v>
      </c>
      <c r="I75" s="114">
        <v>1.5475386169033705</v>
      </c>
      <c r="J75" s="114">
        <v>74.444737262251593</v>
      </c>
      <c r="K75" s="114">
        <v>2.6665636204778265</v>
      </c>
      <c r="L75" s="114">
        <v>9.0967908423782617</v>
      </c>
      <c r="M75" s="114">
        <v>0</v>
      </c>
      <c r="N75" s="114">
        <v>0</v>
      </c>
      <c r="O75" s="114">
        <v>0</v>
      </c>
      <c r="P75" s="114">
        <v>0</v>
      </c>
      <c r="Q75" s="114">
        <v>0</v>
      </c>
      <c r="R75" s="114">
        <v>0</v>
      </c>
      <c r="S75" s="114">
        <v>0</v>
      </c>
      <c r="T75" s="114">
        <v>0</v>
      </c>
      <c r="U75" s="114">
        <v>0</v>
      </c>
      <c r="V75" s="114">
        <v>0</v>
      </c>
      <c r="W75" s="114">
        <v>0</v>
      </c>
      <c r="X75" s="114">
        <v>0</v>
      </c>
      <c r="Y75" s="114">
        <v>0</v>
      </c>
      <c r="Z75" s="99"/>
      <c r="AA75" s="99"/>
      <c r="AB75" s="99"/>
      <c r="AC75" s="99"/>
      <c r="AD75" s="99"/>
      <c r="AE75" s="99"/>
      <c r="AF75" s="99"/>
      <c r="AG75" s="99"/>
      <c r="AH75" s="99"/>
      <c r="AI75" s="99"/>
      <c r="AJ75" s="99"/>
      <c r="AK75" s="99"/>
      <c r="AL75" s="99"/>
      <c r="AM75" s="99"/>
      <c r="AN75" s="99"/>
      <c r="AO75" s="99"/>
      <c r="AP75" s="99"/>
      <c r="AQ75" s="99"/>
      <c r="AR75" s="99"/>
      <c r="AS75" s="99"/>
      <c r="AT75" s="99"/>
      <c r="AU75" s="99"/>
      <c r="AV75" s="99"/>
      <c r="AW75" s="99"/>
      <c r="AX75" s="99"/>
      <c r="AY75" s="99"/>
      <c r="AZ75" s="99"/>
      <c r="BA75" s="99"/>
      <c r="BB75" s="99"/>
      <c r="BC75" s="99"/>
      <c r="BD75" s="99"/>
      <c r="BE75" s="99"/>
      <c r="BF75" s="99"/>
      <c r="BG75" s="99"/>
      <c r="BH75" s="99"/>
      <c r="BI75" s="99"/>
      <c r="BJ75" s="99"/>
      <c r="BK75" s="99"/>
      <c r="BL75" s="99"/>
      <c r="BM75" s="99"/>
      <c r="BN75" s="99"/>
      <c r="BO75" s="99"/>
      <c r="BP75" s="99"/>
      <c r="BQ75" s="99"/>
      <c r="BR75" s="99"/>
      <c r="BS75" s="99"/>
      <c r="BT75" s="99"/>
      <c r="BU75" s="99"/>
      <c r="BV75" s="99"/>
      <c r="BW75" s="99"/>
      <c r="BX75" s="99"/>
      <c r="BY75" s="99"/>
      <c r="BZ75" s="99"/>
      <c r="CA75" s="99"/>
      <c r="CB75" s="99"/>
      <c r="CC75" s="99"/>
      <c r="CD75" s="99"/>
      <c r="CE75" s="99"/>
      <c r="CF75" s="99"/>
      <c r="CG75" s="99"/>
      <c r="CH75" s="99"/>
      <c r="CI75" s="99"/>
      <c r="CJ75" s="99"/>
      <c r="CK75" s="99"/>
      <c r="CL75" s="99"/>
      <c r="CM75" s="99"/>
      <c r="CN75" s="99"/>
      <c r="CO75" s="99"/>
      <c r="CP75" s="99"/>
      <c r="CQ75" s="99"/>
      <c r="CR75" s="99"/>
      <c r="CS75" s="99"/>
      <c r="CT75" s="99"/>
      <c r="CU75" s="99"/>
      <c r="CV75" s="99"/>
      <c r="CW75" s="99"/>
      <c r="CX75" s="99"/>
      <c r="CY75" s="99"/>
    </row>
    <row r="76" spans="1:103" s="116" customFormat="1" x14ac:dyDescent="0.3">
      <c r="A76" s="113"/>
      <c r="B76" s="104" t="s">
        <v>85</v>
      </c>
      <c r="C76" s="105">
        <f t="shared" si="2"/>
        <v>48.187375040978793</v>
      </c>
      <c r="D76" s="114">
        <v>0</v>
      </c>
      <c r="E76" s="114">
        <v>6.7329332138089013</v>
      </c>
      <c r="F76" s="114">
        <v>0</v>
      </c>
      <c r="G76" s="114">
        <v>12.669564362086454</v>
      </c>
      <c r="H76" s="114">
        <v>0</v>
      </c>
      <c r="I76" s="114">
        <v>3.842869415329135</v>
      </c>
      <c r="J76" s="114">
        <v>0</v>
      </c>
      <c r="K76" s="114">
        <v>0</v>
      </c>
      <c r="L76" s="114">
        <v>0</v>
      </c>
      <c r="M76" s="114">
        <v>0</v>
      </c>
      <c r="N76" s="114">
        <v>6.5283820380623538</v>
      </c>
      <c r="O76" s="114">
        <v>0</v>
      </c>
      <c r="P76" s="114">
        <v>0</v>
      </c>
      <c r="Q76" s="114">
        <v>0</v>
      </c>
      <c r="R76" s="114">
        <v>0</v>
      </c>
      <c r="S76" s="114">
        <v>0</v>
      </c>
      <c r="T76" s="114">
        <v>0</v>
      </c>
      <c r="U76" s="114">
        <v>0</v>
      </c>
      <c r="V76" s="114">
        <v>18.413626011691946</v>
      </c>
      <c r="W76" s="114">
        <v>0</v>
      </c>
      <c r="X76" s="114">
        <v>0</v>
      </c>
      <c r="Y76" s="114">
        <v>0</v>
      </c>
      <c r="Z76" s="99"/>
      <c r="AA76" s="99"/>
      <c r="AB76" s="99"/>
      <c r="AC76" s="99"/>
      <c r="AD76" s="99"/>
      <c r="AE76" s="99"/>
      <c r="AF76" s="99"/>
      <c r="AG76" s="99"/>
      <c r="AH76" s="99"/>
      <c r="AI76" s="99"/>
      <c r="AJ76" s="99"/>
      <c r="AK76" s="99"/>
      <c r="AL76" s="99"/>
      <c r="AM76" s="99"/>
      <c r="AN76" s="99"/>
      <c r="AO76" s="99"/>
      <c r="AP76" s="99"/>
      <c r="AQ76" s="99"/>
      <c r="AR76" s="99"/>
      <c r="AS76" s="99"/>
      <c r="AT76" s="99"/>
      <c r="AU76" s="99"/>
      <c r="AV76" s="99"/>
      <c r="AW76" s="99"/>
      <c r="AX76" s="99"/>
      <c r="AY76" s="99"/>
      <c r="AZ76" s="99"/>
      <c r="BA76" s="99"/>
      <c r="BB76" s="99"/>
      <c r="BC76" s="99"/>
      <c r="BD76" s="99"/>
      <c r="BE76" s="99"/>
      <c r="BF76" s="99"/>
      <c r="BG76" s="99"/>
      <c r="BH76" s="99"/>
      <c r="BI76" s="99"/>
      <c r="BJ76" s="99"/>
      <c r="BK76" s="99"/>
      <c r="BL76" s="99"/>
      <c r="BM76" s="99"/>
      <c r="BN76" s="99"/>
      <c r="BO76" s="99"/>
      <c r="BP76" s="99"/>
      <c r="BQ76" s="99"/>
      <c r="BR76" s="99"/>
      <c r="BS76" s="99"/>
      <c r="BT76" s="99"/>
      <c r="BU76" s="99"/>
      <c r="BV76" s="99"/>
      <c r="BW76" s="99"/>
      <c r="BX76" s="99"/>
      <c r="BY76" s="99"/>
      <c r="BZ76" s="99"/>
      <c r="CA76" s="99"/>
      <c r="CB76" s="99"/>
      <c r="CC76" s="99"/>
      <c r="CD76" s="99"/>
      <c r="CE76" s="99"/>
      <c r="CF76" s="99"/>
      <c r="CG76" s="99"/>
      <c r="CH76" s="99"/>
      <c r="CI76" s="99"/>
      <c r="CJ76" s="99"/>
      <c r="CK76" s="99"/>
      <c r="CL76" s="99"/>
      <c r="CM76" s="99"/>
      <c r="CN76" s="99"/>
      <c r="CO76" s="99"/>
      <c r="CP76" s="99"/>
      <c r="CQ76" s="99"/>
      <c r="CR76" s="99"/>
      <c r="CS76" s="99"/>
      <c r="CT76" s="99"/>
      <c r="CU76" s="99"/>
      <c r="CV76" s="99"/>
      <c r="CW76" s="99"/>
      <c r="CX76" s="99"/>
      <c r="CY76" s="99"/>
    </row>
    <row r="77" spans="1:103" s="115" customFormat="1" x14ac:dyDescent="0.3">
      <c r="A77" s="113"/>
      <c r="B77" s="104" t="s">
        <v>86</v>
      </c>
      <c r="C77" s="105">
        <f t="shared" si="2"/>
        <v>85.48593666478483</v>
      </c>
      <c r="D77" s="114">
        <v>0</v>
      </c>
      <c r="E77" s="114">
        <v>1.0190160178460164</v>
      </c>
      <c r="F77" s="114">
        <v>16.346830476981054</v>
      </c>
      <c r="G77" s="114">
        <v>55.632636814009743</v>
      </c>
      <c r="H77" s="114">
        <v>0.78745335594801835</v>
      </c>
      <c r="I77" s="114">
        <v>0</v>
      </c>
      <c r="J77" s="114">
        <v>0</v>
      </c>
      <c r="K77" s="114">
        <v>0</v>
      </c>
      <c r="L77" s="114">
        <v>0</v>
      </c>
      <c r="M77" s="114">
        <v>0</v>
      </c>
      <c r="N77" s="114">
        <v>0</v>
      </c>
      <c r="O77" s="114">
        <v>0</v>
      </c>
      <c r="P77" s="114">
        <v>11.7</v>
      </c>
      <c r="Q77" s="114">
        <v>0</v>
      </c>
      <c r="R77" s="114">
        <v>0</v>
      </c>
      <c r="S77" s="114">
        <v>0</v>
      </c>
      <c r="T77" s="114">
        <v>0</v>
      </c>
      <c r="U77" s="114">
        <v>0</v>
      </c>
      <c r="V77" s="114">
        <v>0</v>
      </c>
      <c r="W77" s="114">
        <v>0</v>
      </c>
      <c r="X77" s="114">
        <v>0</v>
      </c>
      <c r="Y77" s="114">
        <v>0</v>
      </c>
      <c r="Z77" s="99"/>
      <c r="AA77" s="99"/>
      <c r="AB77" s="99"/>
      <c r="AC77" s="99"/>
      <c r="AD77" s="99"/>
      <c r="AE77" s="99"/>
      <c r="AF77" s="99"/>
      <c r="AG77" s="99"/>
      <c r="AH77" s="99"/>
      <c r="AI77" s="99"/>
      <c r="AJ77" s="99"/>
      <c r="AK77" s="99"/>
      <c r="AL77" s="99"/>
      <c r="AM77" s="99"/>
      <c r="AN77" s="99"/>
      <c r="AO77" s="99"/>
      <c r="AP77" s="99"/>
      <c r="AQ77" s="99"/>
      <c r="AR77" s="99"/>
      <c r="AS77" s="99"/>
      <c r="AT77" s="99"/>
      <c r="AU77" s="99"/>
      <c r="AV77" s="99"/>
      <c r="AW77" s="99"/>
      <c r="AX77" s="99"/>
      <c r="AY77" s="99"/>
      <c r="AZ77" s="99"/>
      <c r="BA77" s="99"/>
      <c r="BB77" s="99"/>
      <c r="BC77" s="99"/>
      <c r="BD77" s="99"/>
      <c r="BE77" s="99"/>
      <c r="BF77" s="99"/>
      <c r="BG77" s="99"/>
      <c r="BH77" s="99"/>
      <c r="BI77" s="99"/>
      <c r="BJ77" s="99"/>
      <c r="BK77" s="99"/>
      <c r="BL77" s="99"/>
      <c r="BM77" s="99"/>
      <c r="BN77" s="99"/>
      <c r="BO77" s="99"/>
      <c r="BP77" s="99"/>
      <c r="BQ77" s="99"/>
      <c r="BR77" s="99"/>
      <c r="BS77" s="99"/>
      <c r="BT77" s="99"/>
      <c r="BU77" s="99"/>
      <c r="BV77" s="99"/>
      <c r="BW77" s="99"/>
      <c r="BX77" s="99"/>
      <c r="BY77" s="99"/>
      <c r="BZ77" s="99"/>
      <c r="CA77" s="99"/>
      <c r="CB77" s="99"/>
      <c r="CC77" s="99"/>
      <c r="CD77" s="99"/>
      <c r="CE77" s="99"/>
      <c r="CF77" s="99"/>
      <c r="CG77" s="99"/>
      <c r="CH77" s="99"/>
      <c r="CI77" s="99"/>
      <c r="CJ77" s="99"/>
      <c r="CK77" s="99"/>
      <c r="CL77" s="99"/>
      <c r="CM77" s="99"/>
      <c r="CN77" s="99"/>
      <c r="CO77" s="99"/>
      <c r="CP77" s="99"/>
      <c r="CQ77" s="99"/>
      <c r="CR77" s="99"/>
      <c r="CS77" s="99"/>
      <c r="CT77" s="99"/>
      <c r="CU77" s="99"/>
      <c r="CV77" s="99"/>
      <c r="CW77" s="99"/>
      <c r="CX77" s="99"/>
      <c r="CY77" s="99"/>
    </row>
    <row r="78" spans="1:103" s="117" customFormat="1" x14ac:dyDescent="0.3">
      <c r="A78" s="113"/>
      <c r="B78" s="104" t="s">
        <v>87</v>
      </c>
      <c r="C78" s="105">
        <f t="shared" si="2"/>
        <v>62.680175676201259</v>
      </c>
      <c r="D78" s="114">
        <v>0</v>
      </c>
      <c r="E78" s="114">
        <v>12.217263840140671</v>
      </c>
      <c r="F78" s="114">
        <v>0</v>
      </c>
      <c r="G78" s="114">
        <v>15.729064769638871</v>
      </c>
      <c r="H78" s="114">
        <v>14.98622072312736</v>
      </c>
      <c r="I78" s="114">
        <v>0</v>
      </c>
      <c r="J78" s="114">
        <v>14.936490471296342</v>
      </c>
      <c r="K78" s="114">
        <v>0</v>
      </c>
      <c r="L78" s="114">
        <v>0</v>
      </c>
      <c r="M78" s="114">
        <v>0</v>
      </c>
      <c r="N78" s="114">
        <v>2.5694341790439355</v>
      </c>
      <c r="O78" s="114">
        <v>0</v>
      </c>
      <c r="P78" s="114">
        <v>0</v>
      </c>
      <c r="Q78" s="114">
        <v>2.2417016929540781</v>
      </c>
      <c r="R78" s="114">
        <v>0</v>
      </c>
      <c r="S78" s="114">
        <v>0</v>
      </c>
      <c r="T78" s="114">
        <v>0</v>
      </c>
      <c r="U78" s="114">
        <v>0</v>
      </c>
      <c r="V78" s="114">
        <v>0</v>
      </c>
      <c r="W78" s="114">
        <v>0</v>
      </c>
      <c r="X78" s="114">
        <v>0</v>
      </c>
      <c r="Y78" s="114">
        <v>0</v>
      </c>
      <c r="Z78" s="99"/>
      <c r="AA78" s="99"/>
      <c r="AB78" s="99"/>
      <c r="AC78" s="99"/>
      <c r="AD78" s="99"/>
      <c r="AE78" s="99"/>
      <c r="AF78" s="99"/>
      <c r="AG78" s="99"/>
      <c r="AH78" s="99"/>
      <c r="AI78" s="99"/>
      <c r="AJ78" s="99"/>
      <c r="AK78" s="99"/>
      <c r="AL78" s="99"/>
      <c r="AM78" s="99"/>
      <c r="AN78" s="99"/>
      <c r="AO78" s="99"/>
      <c r="AP78" s="99"/>
      <c r="AQ78" s="99"/>
      <c r="AR78" s="99"/>
      <c r="AS78" s="99"/>
      <c r="AT78" s="99"/>
      <c r="AU78" s="99"/>
      <c r="AV78" s="99"/>
      <c r="AW78" s="99"/>
      <c r="AX78" s="99"/>
      <c r="AY78" s="99"/>
      <c r="AZ78" s="99"/>
      <c r="BA78" s="99"/>
      <c r="BB78" s="99"/>
      <c r="BC78" s="99"/>
      <c r="BD78" s="99"/>
      <c r="BE78" s="99"/>
      <c r="BF78" s="99"/>
      <c r="BG78" s="99"/>
      <c r="BH78" s="99"/>
      <c r="BI78" s="99"/>
      <c r="BJ78" s="99"/>
      <c r="BK78" s="99"/>
      <c r="BL78" s="99"/>
      <c r="BM78" s="99"/>
      <c r="BN78" s="99"/>
      <c r="BO78" s="99"/>
      <c r="BP78" s="99"/>
      <c r="BQ78" s="99"/>
      <c r="BR78" s="99"/>
      <c r="BS78" s="99"/>
      <c r="BT78" s="99"/>
      <c r="BU78" s="99"/>
      <c r="BV78" s="99"/>
      <c r="BW78" s="99"/>
      <c r="BX78" s="99"/>
      <c r="BY78" s="99"/>
      <c r="BZ78" s="99"/>
      <c r="CA78" s="99"/>
      <c r="CB78" s="99"/>
      <c r="CC78" s="99"/>
      <c r="CD78" s="99"/>
      <c r="CE78" s="99"/>
      <c r="CF78" s="99"/>
      <c r="CG78" s="99"/>
      <c r="CH78" s="99"/>
      <c r="CI78" s="99"/>
      <c r="CJ78" s="99"/>
      <c r="CK78" s="99"/>
      <c r="CL78" s="99"/>
      <c r="CM78" s="99"/>
      <c r="CN78" s="99"/>
      <c r="CO78" s="99"/>
      <c r="CP78" s="99"/>
      <c r="CQ78" s="99"/>
      <c r="CR78" s="99"/>
      <c r="CS78" s="99"/>
      <c r="CT78" s="99"/>
      <c r="CU78" s="99"/>
      <c r="CV78" s="99"/>
      <c r="CW78" s="99"/>
      <c r="CX78" s="99"/>
      <c r="CY78" s="99"/>
    </row>
    <row r="79" spans="1:103" s="115" customFormat="1" x14ac:dyDescent="0.3">
      <c r="A79" s="113"/>
      <c r="B79" s="104" t="s">
        <v>88</v>
      </c>
      <c r="C79" s="105">
        <f t="shared" si="2"/>
        <v>184.38244208078112</v>
      </c>
      <c r="D79" s="114">
        <v>0</v>
      </c>
      <c r="E79" s="114">
        <v>4.0630434684020917</v>
      </c>
      <c r="F79" s="114">
        <v>47.148466277862894</v>
      </c>
      <c r="G79" s="114">
        <v>5.7876770064211787</v>
      </c>
      <c r="H79" s="114">
        <v>6.7273410668630769</v>
      </c>
      <c r="I79" s="114">
        <v>7.5246610939301029</v>
      </c>
      <c r="J79" s="114">
        <v>29.135639397453904</v>
      </c>
      <c r="K79" s="114">
        <v>0</v>
      </c>
      <c r="L79" s="114">
        <v>1.1849628121166571</v>
      </c>
      <c r="M79" s="114">
        <v>0</v>
      </c>
      <c r="N79" s="114">
        <v>0</v>
      </c>
      <c r="O79" s="114">
        <v>0</v>
      </c>
      <c r="P79" s="114">
        <v>79.5</v>
      </c>
      <c r="Q79" s="114">
        <v>2.1474218911022742</v>
      </c>
      <c r="R79" s="114">
        <v>1.1632290666289624</v>
      </c>
      <c r="S79" s="114">
        <v>0</v>
      </c>
      <c r="T79" s="114">
        <v>0</v>
      </c>
      <c r="U79" s="114">
        <v>0</v>
      </c>
      <c r="V79" s="114">
        <v>0</v>
      </c>
      <c r="W79" s="114">
        <v>0</v>
      </c>
      <c r="X79" s="114">
        <v>0</v>
      </c>
      <c r="Y79" s="114">
        <v>0</v>
      </c>
      <c r="Z79" s="99"/>
      <c r="AA79" s="99"/>
      <c r="AB79" s="99"/>
      <c r="AC79" s="99"/>
      <c r="AD79" s="99"/>
      <c r="AE79" s="99"/>
      <c r="AF79" s="99"/>
      <c r="AG79" s="99"/>
      <c r="AH79" s="99"/>
      <c r="AI79" s="99"/>
      <c r="AJ79" s="99"/>
      <c r="AK79" s="99"/>
      <c r="AL79" s="99"/>
      <c r="AM79" s="99"/>
      <c r="AN79" s="99"/>
      <c r="AO79" s="99"/>
      <c r="AP79" s="99"/>
      <c r="AQ79" s="99"/>
      <c r="AR79" s="99"/>
      <c r="AS79" s="99"/>
      <c r="AT79" s="99"/>
      <c r="AU79" s="99"/>
      <c r="AV79" s="99"/>
      <c r="AW79" s="99"/>
      <c r="AX79" s="99"/>
      <c r="AY79" s="99"/>
      <c r="AZ79" s="99"/>
      <c r="BA79" s="99"/>
      <c r="BB79" s="99"/>
      <c r="BC79" s="99"/>
      <c r="BD79" s="99"/>
      <c r="BE79" s="99"/>
      <c r="BF79" s="99"/>
      <c r="BG79" s="99"/>
      <c r="BH79" s="99"/>
      <c r="BI79" s="99"/>
      <c r="BJ79" s="99"/>
      <c r="BK79" s="99"/>
      <c r="BL79" s="99"/>
      <c r="BM79" s="99"/>
      <c r="BN79" s="99"/>
      <c r="BO79" s="99"/>
      <c r="BP79" s="99"/>
      <c r="BQ79" s="99"/>
      <c r="BR79" s="99"/>
      <c r="BS79" s="99"/>
      <c r="BT79" s="99"/>
      <c r="BU79" s="99"/>
      <c r="BV79" s="99"/>
      <c r="BW79" s="99"/>
      <c r="BX79" s="99"/>
      <c r="BY79" s="99"/>
      <c r="BZ79" s="99"/>
      <c r="CA79" s="99"/>
      <c r="CB79" s="99"/>
      <c r="CC79" s="99"/>
      <c r="CD79" s="99"/>
      <c r="CE79" s="99"/>
      <c r="CF79" s="99"/>
      <c r="CG79" s="99"/>
      <c r="CH79" s="99"/>
      <c r="CI79" s="99"/>
      <c r="CJ79" s="99"/>
      <c r="CK79" s="99"/>
      <c r="CL79" s="99"/>
      <c r="CM79" s="99"/>
      <c r="CN79" s="99"/>
      <c r="CO79" s="99"/>
      <c r="CP79" s="99"/>
      <c r="CQ79" s="99"/>
      <c r="CR79" s="99"/>
      <c r="CS79" s="99"/>
      <c r="CT79" s="99"/>
      <c r="CU79" s="99"/>
      <c r="CV79" s="99"/>
      <c r="CW79" s="99"/>
      <c r="CX79" s="99"/>
      <c r="CY79" s="99"/>
    </row>
    <row r="80" spans="1:103" s="115" customFormat="1" x14ac:dyDescent="0.3">
      <c r="A80" s="113"/>
      <c r="B80" s="104" t="s">
        <v>89</v>
      </c>
      <c r="C80" s="105">
        <f t="shared" si="2"/>
        <v>12.972175950708662</v>
      </c>
      <c r="D80" s="114">
        <v>0</v>
      </c>
      <c r="E80" s="114">
        <v>0</v>
      </c>
      <c r="F80" s="114">
        <v>0</v>
      </c>
      <c r="G80" s="114">
        <v>3.8985353619922929</v>
      </c>
      <c r="H80" s="114">
        <v>0</v>
      </c>
      <c r="I80" s="114">
        <v>0.27364058871636843</v>
      </c>
      <c r="J80" s="114">
        <v>0</v>
      </c>
      <c r="K80" s="114">
        <v>0</v>
      </c>
      <c r="L80" s="114">
        <v>0</v>
      </c>
      <c r="M80" s="114">
        <v>0</v>
      </c>
      <c r="N80" s="114">
        <v>0</v>
      </c>
      <c r="O80" s="114">
        <v>0</v>
      </c>
      <c r="P80" s="114">
        <v>8.8000000000000007</v>
      </c>
      <c r="Q80" s="114">
        <v>0</v>
      </c>
      <c r="R80" s="114">
        <v>0</v>
      </c>
      <c r="S80" s="114">
        <v>0</v>
      </c>
      <c r="T80" s="114">
        <v>0</v>
      </c>
      <c r="U80" s="114">
        <v>0</v>
      </c>
      <c r="V80" s="114">
        <v>0</v>
      </c>
      <c r="W80" s="114">
        <v>0</v>
      </c>
      <c r="X80" s="114">
        <v>0</v>
      </c>
      <c r="Y80" s="114">
        <v>0</v>
      </c>
      <c r="Z80" s="99"/>
      <c r="AA80" s="99"/>
      <c r="AB80" s="99"/>
      <c r="AC80" s="99"/>
      <c r="AD80" s="99"/>
      <c r="AE80" s="99"/>
      <c r="AF80" s="99"/>
      <c r="AG80" s="99"/>
      <c r="AH80" s="99"/>
      <c r="AI80" s="99"/>
      <c r="AJ80" s="99"/>
      <c r="AK80" s="99"/>
      <c r="AL80" s="99"/>
      <c r="AM80" s="99"/>
      <c r="AN80" s="99"/>
      <c r="AO80" s="99"/>
      <c r="AP80" s="99"/>
      <c r="AQ80" s="99"/>
      <c r="AR80" s="99"/>
      <c r="AS80" s="99"/>
      <c r="AT80" s="99"/>
      <c r="AU80" s="99"/>
      <c r="AV80" s="99"/>
      <c r="AW80" s="99"/>
      <c r="AX80" s="99"/>
      <c r="AY80" s="99"/>
      <c r="AZ80" s="99"/>
      <c r="BA80" s="99"/>
      <c r="BB80" s="99"/>
      <c r="BC80" s="99"/>
      <c r="BD80" s="99"/>
      <c r="BE80" s="99"/>
      <c r="BF80" s="99"/>
      <c r="BG80" s="99"/>
      <c r="BH80" s="99"/>
      <c r="BI80" s="99"/>
      <c r="BJ80" s="99"/>
      <c r="BK80" s="99"/>
      <c r="BL80" s="99"/>
      <c r="BM80" s="99"/>
      <c r="BN80" s="99"/>
      <c r="BO80" s="99"/>
      <c r="BP80" s="99"/>
      <c r="BQ80" s="99"/>
      <c r="BR80" s="99"/>
      <c r="BS80" s="99"/>
      <c r="BT80" s="99"/>
      <c r="BU80" s="99"/>
      <c r="BV80" s="99"/>
      <c r="BW80" s="99"/>
      <c r="BX80" s="99"/>
      <c r="BY80" s="99"/>
      <c r="BZ80" s="99"/>
      <c r="CA80" s="99"/>
      <c r="CB80" s="99"/>
      <c r="CC80" s="99"/>
      <c r="CD80" s="99"/>
      <c r="CE80" s="99"/>
      <c r="CF80" s="99"/>
      <c r="CG80" s="99"/>
      <c r="CH80" s="99"/>
      <c r="CI80" s="99"/>
      <c r="CJ80" s="99"/>
      <c r="CK80" s="99"/>
      <c r="CL80" s="99"/>
      <c r="CM80" s="99"/>
      <c r="CN80" s="99"/>
      <c r="CO80" s="99"/>
      <c r="CP80" s="99"/>
      <c r="CQ80" s="99"/>
      <c r="CR80" s="99"/>
      <c r="CS80" s="99"/>
      <c r="CT80" s="99"/>
      <c r="CU80" s="99"/>
      <c r="CV80" s="99"/>
      <c r="CW80" s="99"/>
      <c r="CX80" s="99"/>
      <c r="CY80" s="99"/>
    </row>
    <row r="81" spans="1:103" s="115" customFormat="1" x14ac:dyDescent="0.3">
      <c r="A81" s="113"/>
      <c r="B81" s="104" t="s">
        <v>90</v>
      </c>
      <c r="C81" s="105">
        <f t="shared" si="2"/>
        <v>115.38172515173665</v>
      </c>
      <c r="D81" s="114">
        <v>0</v>
      </c>
      <c r="E81" s="114">
        <v>78.427725814185806</v>
      </c>
      <c r="F81" s="114">
        <v>4.3838596230388847</v>
      </c>
      <c r="G81" s="114">
        <v>5.4638510804271849</v>
      </c>
      <c r="H81" s="114">
        <v>0</v>
      </c>
      <c r="I81" s="114">
        <v>0.27813260326821521</v>
      </c>
      <c r="J81" s="114">
        <v>16.360838653429077</v>
      </c>
      <c r="K81" s="114">
        <v>3.0259051924286005</v>
      </c>
      <c r="L81" s="114">
        <v>0</v>
      </c>
      <c r="M81" s="114">
        <v>2.297739349942316</v>
      </c>
      <c r="N81" s="114">
        <v>0</v>
      </c>
      <c r="O81" s="114">
        <v>0</v>
      </c>
      <c r="P81" s="114">
        <v>0</v>
      </c>
      <c r="Q81" s="114">
        <v>2.0409834373294302</v>
      </c>
      <c r="R81" s="114">
        <v>1.0729041128307348</v>
      </c>
      <c r="S81" s="114">
        <v>2.0297852848563895</v>
      </c>
      <c r="T81" s="114">
        <v>0</v>
      </c>
      <c r="U81" s="114">
        <v>0</v>
      </c>
      <c r="V81" s="114">
        <v>0</v>
      </c>
      <c r="W81" s="114">
        <v>0</v>
      </c>
      <c r="X81" s="114">
        <v>0</v>
      </c>
      <c r="Y81" s="114">
        <v>0</v>
      </c>
      <c r="Z81" s="99"/>
      <c r="AA81" s="99"/>
      <c r="AB81" s="99"/>
      <c r="AC81" s="99"/>
      <c r="AD81" s="99"/>
      <c r="AE81" s="99"/>
      <c r="AF81" s="99"/>
      <c r="AG81" s="99"/>
      <c r="AH81" s="99"/>
      <c r="AI81" s="99"/>
      <c r="AJ81" s="99"/>
      <c r="AK81" s="99"/>
      <c r="AL81" s="99"/>
      <c r="AM81" s="99"/>
      <c r="AN81" s="99"/>
      <c r="AO81" s="99"/>
      <c r="AP81" s="99"/>
      <c r="AQ81" s="99"/>
      <c r="AR81" s="99"/>
      <c r="AS81" s="99"/>
      <c r="AT81" s="99"/>
      <c r="AU81" s="99"/>
      <c r="AV81" s="99"/>
      <c r="AW81" s="99"/>
      <c r="AX81" s="99"/>
      <c r="AY81" s="99"/>
      <c r="AZ81" s="99"/>
      <c r="BA81" s="99"/>
      <c r="BB81" s="99"/>
      <c r="BC81" s="99"/>
      <c r="BD81" s="99"/>
      <c r="BE81" s="99"/>
      <c r="BF81" s="99"/>
      <c r="BG81" s="99"/>
      <c r="BH81" s="99"/>
      <c r="BI81" s="99"/>
      <c r="BJ81" s="99"/>
      <c r="BK81" s="99"/>
      <c r="BL81" s="99"/>
      <c r="BM81" s="99"/>
      <c r="BN81" s="99"/>
      <c r="BO81" s="99"/>
      <c r="BP81" s="99"/>
      <c r="BQ81" s="99"/>
      <c r="BR81" s="99"/>
      <c r="BS81" s="99"/>
      <c r="BT81" s="99"/>
      <c r="BU81" s="99"/>
      <c r="BV81" s="99"/>
      <c r="BW81" s="99"/>
      <c r="BX81" s="99"/>
      <c r="BY81" s="99"/>
      <c r="BZ81" s="99"/>
      <c r="CA81" s="99"/>
      <c r="CB81" s="99"/>
      <c r="CC81" s="99"/>
      <c r="CD81" s="99"/>
      <c r="CE81" s="99"/>
      <c r="CF81" s="99"/>
      <c r="CG81" s="99"/>
      <c r="CH81" s="99"/>
      <c r="CI81" s="99"/>
      <c r="CJ81" s="99"/>
      <c r="CK81" s="99"/>
      <c r="CL81" s="99"/>
      <c r="CM81" s="99"/>
      <c r="CN81" s="99"/>
      <c r="CO81" s="99"/>
      <c r="CP81" s="99"/>
      <c r="CQ81" s="99"/>
      <c r="CR81" s="99"/>
      <c r="CS81" s="99"/>
      <c r="CT81" s="99"/>
      <c r="CU81" s="99"/>
      <c r="CV81" s="99"/>
      <c r="CW81" s="99"/>
      <c r="CX81" s="99"/>
      <c r="CY81" s="99"/>
    </row>
    <row r="82" spans="1:103" s="115" customFormat="1" x14ac:dyDescent="0.3">
      <c r="A82" s="113"/>
      <c r="B82" s="104" t="s">
        <v>91</v>
      </c>
      <c r="C82" s="105">
        <f t="shared" si="2"/>
        <v>16.791859223067917</v>
      </c>
      <c r="D82" s="114">
        <v>0</v>
      </c>
      <c r="E82" s="114">
        <v>0.73057382237257551</v>
      </c>
      <c r="F82" s="114">
        <v>0</v>
      </c>
      <c r="G82" s="114">
        <v>13.478551560826823</v>
      </c>
      <c r="H82" s="114">
        <v>0</v>
      </c>
      <c r="I82" s="114">
        <v>2.4322054425106572</v>
      </c>
      <c r="J82" s="114">
        <v>0</v>
      </c>
      <c r="K82" s="114">
        <v>0</v>
      </c>
      <c r="L82" s="114">
        <v>0</v>
      </c>
      <c r="M82" s="114">
        <v>0</v>
      </c>
      <c r="N82" s="114">
        <v>0</v>
      </c>
      <c r="O82" s="114">
        <v>0</v>
      </c>
      <c r="P82" s="114">
        <v>0</v>
      </c>
      <c r="Q82" s="114">
        <v>0.1505283973578595</v>
      </c>
      <c r="R82" s="114">
        <v>0</v>
      </c>
      <c r="S82" s="114">
        <v>0</v>
      </c>
      <c r="T82" s="114">
        <v>0</v>
      </c>
      <c r="U82" s="114">
        <v>0</v>
      </c>
      <c r="V82" s="114">
        <v>0</v>
      </c>
      <c r="W82" s="114">
        <v>0</v>
      </c>
      <c r="X82" s="114">
        <v>0</v>
      </c>
      <c r="Y82" s="114">
        <v>0</v>
      </c>
      <c r="Z82" s="99"/>
      <c r="AA82" s="99"/>
      <c r="AB82" s="99"/>
      <c r="AC82" s="99"/>
      <c r="AD82" s="99"/>
      <c r="AE82" s="99"/>
      <c r="AF82" s="99"/>
      <c r="AG82" s="99"/>
      <c r="AH82" s="99"/>
      <c r="AI82" s="99"/>
      <c r="AJ82" s="99"/>
      <c r="AK82" s="99"/>
      <c r="AL82" s="99"/>
      <c r="AM82" s="99"/>
      <c r="AN82" s="99"/>
      <c r="AO82" s="99"/>
      <c r="AP82" s="99"/>
      <c r="AQ82" s="99"/>
      <c r="AR82" s="99"/>
      <c r="AS82" s="99"/>
      <c r="AT82" s="99"/>
      <c r="AU82" s="99"/>
      <c r="AV82" s="99"/>
      <c r="AW82" s="99"/>
      <c r="AX82" s="99"/>
      <c r="AY82" s="99"/>
      <c r="AZ82" s="99"/>
      <c r="BA82" s="99"/>
      <c r="BB82" s="99"/>
      <c r="BC82" s="99"/>
      <c r="BD82" s="99"/>
      <c r="BE82" s="99"/>
      <c r="BF82" s="99"/>
      <c r="BG82" s="99"/>
      <c r="BH82" s="99"/>
      <c r="BI82" s="99"/>
      <c r="BJ82" s="99"/>
      <c r="BK82" s="99"/>
      <c r="BL82" s="99"/>
      <c r="BM82" s="99"/>
      <c r="BN82" s="99"/>
      <c r="BO82" s="99"/>
      <c r="BP82" s="99"/>
      <c r="BQ82" s="99"/>
      <c r="BR82" s="99"/>
      <c r="BS82" s="99"/>
      <c r="BT82" s="99"/>
      <c r="BU82" s="99"/>
      <c r="BV82" s="99"/>
      <c r="BW82" s="99"/>
      <c r="BX82" s="99"/>
      <c r="BY82" s="99"/>
      <c r="BZ82" s="99"/>
      <c r="CA82" s="99"/>
      <c r="CB82" s="99"/>
      <c r="CC82" s="99"/>
      <c r="CD82" s="99"/>
      <c r="CE82" s="99"/>
      <c r="CF82" s="99"/>
      <c r="CG82" s="99"/>
      <c r="CH82" s="99"/>
      <c r="CI82" s="99"/>
      <c r="CJ82" s="99"/>
      <c r="CK82" s="99"/>
      <c r="CL82" s="99"/>
      <c r="CM82" s="99"/>
      <c r="CN82" s="99"/>
      <c r="CO82" s="99"/>
      <c r="CP82" s="99"/>
      <c r="CQ82" s="99"/>
      <c r="CR82" s="99"/>
      <c r="CS82" s="99"/>
      <c r="CT82" s="99"/>
      <c r="CU82" s="99"/>
      <c r="CV82" s="99"/>
      <c r="CW82" s="99"/>
      <c r="CX82" s="99"/>
      <c r="CY82" s="99"/>
    </row>
    <row r="83" spans="1:103" s="115" customFormat="1" x14ac:dyDescent="0.3">
      <c r="A83" s="113"/>
      <c r="B83" s="104" t="s">
        <v>92</v>
      </c>
      <c r="C83" s="105">
        <f t="shared" si="2"/>
        <v>5.8325977973101111</v>
      </c>
      <c r="D83" s="114">
        <v>0.38125817325439337</v>
      </c>
      <c r="E83" s="114">
        <v>0</v>
      </c>
      <c r="F83" s="114">
        <v>0</v>
      </c>
      <c r="G83" s="114">
        <v>0</v>
      </c>
      <c r="H83" s="114">
        <v>0</v>
      </c>
      <c r="I83" s="114">
        <v>1.75219731757457</v>
      </c>
      <c r="J83" s="114">
        <v>0</v>
      </c>
      <c r="K83" s="114">
        <v>0</v>
      </c>
      <c r="L83" s="114">
        <v>0</v>
      </c>
      <c r="M83" s="114">
        <v>0</v>
      </c>
      <c r="N83" s="114">
        <v>0</v>
      </c>
      <c r="O83" s="114">
        <v>0</v>
      </c>
      <c r="P83" s="114">
        <v>0</v>
      </c>
      <c r="Q83" s="114">
        <v>2.6837877805264156</v>
      </c>
      <c r="R83" s="114">
        <v>0.99238288217712267</v>
      </c>
      <c r="S83" s="114">
        <v>0</v>
      </c>
      <c r="T83" s="114">
        <v>0</v>
      </c>
      <c r="U83" s="114">
        <v>0</v>
      </c>
      <c r="V83" s="114">
        <v>0</v>
      </c>
      <c r="W83" s="114">
        <v>0</v>
      </c>
      <c r="X83" s="114">
        <v>2.2971643777610407E-2</v>
      </c>
      <c r="Y83" s="114">
        <v>0</v>
      </c>
      <c r="Z83" s="99"/>
      <c r="AA83" s="99"/>
      <c r="AB83" s="99"/>
      <c r="AC83" s="99"/>
      <c r="AD83" s="99"/>
      <c r="AE83" s="99"/>
      <c r="AF83" s="99"/>
      <c r="AG83" s="99"/>
      <c r="AH83" s="99"/>
      <c r="AI83" s="99"/>
      <c r="AJ83" s="99"/>
      <c r="AK83" s="99"/>
      <c r="AL83" s="99"/>
      <c r="AM83" s="99"/>
      <c r="AN83" s="99"/>
      <c r="AO83" s="99"/>
      <c r="AP83" s="99"/>
      <c r="AQ83" s="99"/>
      <c r="AR83" s="99"/>
      <c r="AS83" s="99"/>
      <c r="AT83" s="99"/>
      <c r="AU83" s="99"/>
      <c r="AV83" s="99"/>
      <c r="AW83" s="99"/>
      <c r="AX83" s="99"/>
      <c r="AY83" s="99"/>
      <c r="AZ83" s="99"/>
      <c r="BA83" s="99"/>
      <c r="BB83" s="99"/>
      <c r="BC83" s="99"/>
      <c r="BD83" s="99"/>
      <c r="BE83" s="99"/>
      <c r="BF83" s="99"/>
      <c r="BG83" s="99"/>
      <c r="BH83" s="99"/>
      <c r="BI83" s="99"/>
      <c r="BJ83" s="99"/>
      <c r="BK83" s="99"/>
      <c r="BL83" s="99"/>
      <c r="BM83" s="99"/>
      <c r="BN83" s="99"/>
      <c r="BO83" s="99"/>
      <c r="BP83" s="99"/>
      <c r="BQ83" s="99"/>
      <c r="BR83" s="99"/>
      <c r="BS83" s="99"/>
      <c r="BT83" s="99"/>
      <c r="BU83" s="99"/>
      <c r="BV83" s="99"/>
      <c r="BW83" s="99"/>
      <c r="BX83" s="99"/>
      <c r="BY83" s="99"/>
      <c r="BZ83" s="99"/>
      <c r="CA83" s="99"/>
      <c r="CB83" s="99"/>
      <c r="CC83" s="99"/>
      <c r="CD83" s="99"/>
      <c r="CE83" s="99"/>
      <c r="CF83" s="99"/>
      <c r="CG83" s="99"/>
      <c r="CH83" s="99"/>
      <c r="CI83" s="99"/>
      <c r="CJ83" s="99"/>
      <c r="CK83" s="99"/>
      <c r="CL83" s="99"/>
      <c r="CM83" s="99"/>
      <c r="CN83" s="99"/>
      <c r="CO83" s="99"/>
      <c r="CP83" s="99"/>
      <c r="CQ83" s="99"/>
      <c r="CR83" s="99"/>
      <c r="CS83" s="99"/>
      <c r="CT83" s="99"/>
      <c r="CU83" s="99"/>
      <c r="CV83" s="99"/>
      <c r="CW83" s="99"/>
      <c r="CX83" s="99"/>
      <c r="CY83" s="99"/>
    </row>
    <row r="84" spans="1:103" s="115" customFormat="1" x14ac:dyDescent="0.3">
      <c r="A84" s="113"/>
      <c r="B84" s="104" t="s">
        <v>93</v>
      </c>
      <c r="C84" s="105">
        <f t="shared" si="2"/>
        <v>170.4120838054273</v>
      </c>
      <c r="D84" s="114">
        <v>0.17764538114124506</v>
      </c>
      <c r="E84" s="114">
        <v>48.852248412756921</v>
      </c>
      <c r="F84" s="114">
        <v>5.5926728596806958</v>
      </c>
      <c r="G84" s="114">
        <v>9.3829863541469951</v>
      </c>
      <c r="H84" s="114">
        <v>23.829265089740876</v>
      </c>
      <c r="I84" s="114">
        <v>5.493557839815626</v>
      </c>
      <c r="J84" s="114">
        <v>29.044419626512383</v>
      </c>
      <c r="K84" s="114">
        <v>0</v>
      </c>
      <c r="L84" s="114">
        <v>23.961132765651531</v>
      </c>
      <c r="M84" s="114">
        <v>0</v>
      </c>
      <c r="N84" s="114">
        <v>0</v>
      </c>
      <c r="O84" s="114">
        <v>0</v>
      </c>
      <c r="P84" s="114">
        <v>23.9</v>
      </c>
      <c r="Q84" s="114">
        <v>0.17815547598102333</v>
      </c>
      <c r="R84" s="114">
        <v>0</v>
      </c>
      <c r="S84" s="114">
        <v>0</v>
      </c>
      <c r="T84" s="114">
        <v>0</v>
      </c>
      <c r="U84" s="114">
        <v>0</v>
      </c>
      <c r="V84" s="114">
        <v>0</v>
      </c>
      <c r="W84" s="114">
        <v>0</v>
      </c>
      <c r="X84" s="114">
        <v>0</v>
      </c>
      <c r="Y84" s="114">
        <v>0</v>
      </c>
      <c r="Z84" s="99"/>
      <c r="AA84" s="99"/>
      <c r="AB84" s="99"/>
      <c r="AC84" s="99"/>
      <c r="AD84" s="99"/>
      <c r="AE84" s="99"/>
      <c r="AF84" s="99"/>
      <c r="AG84" s="99"/>
      <c r="AH84" s="99"/>
      <c r="AI84" s="99"/>
      <c r="AJ84" s="99"/>
      <c r="AK84" s="99"/>
      <c r="AL84" s="99"/>
      <c r="AM84" s="99"/>
      <c r="AN84" s="99"/>
      <c r="AO84" s="99"/>
      <c r="AP84" s="99"/>
      <c r="AQ84" s="99"/>
      <c r="AR84" s="99"/>
      <c r="AS84" s="99"/>
      <c r="AT84" s="99"/>
      <c r="AU84" s="99"/>
      <c r="AV84" s="99"/>
      <c r="AW84" s="99"/>
      <c r="AX84" s="99"/>
      <c r="AY84" s="99"/>
      <c r="AZ84" s="99"/>
      <c r="BA84" s="99"/>
      <c r="BB84" s="99"/>
      <c r="BC84" s="99"/>
      <c r="BD84" s="99"/>
      <c r="BE84" s="99"/>
      <c r="BF84" s="99"/>
      <c r="BG84" s="99"/>
      <c r="BH84" s="99"/>
      <c r="BI84" s="99"/>
      <c r="BJ84" s="99"/>
      <c r="BK84" s="99"/>
      <c r="BL84" s="99"/>
      <c r="BM84" s="99"/>
      <c r="BN84" s="99"/>
      <c r="BO84" s="99"/>
      <c r="BP84" s="99"/>
      <c r="BQ84" s="99"/>
      <c r="BR84" s="99"/>
      <c r="BS84" s="99"/>
      <c r="BT84" s="99"/>
      <c r="BU84" s="99"/>
      <c r="BV84" s="99"/>
      <c r="BW84" s="99"/>
      <c r="BX84" s="99"/>
      <c r="BY84" s="99"/>
      <c r="BZ84" s="99"/>
      <c r="CA84" s="99"/>
      <c r="CB84" s="99"/>
      <c r="CC84" s="99"/>
      <c r="CD84" s="99"/>
      <c r="CE84" s="99"/>
      <c r="CF84" s="99"/>
      <c r="CG84" s="99"/>
      <c r="CH84" s="99"/>
      <c r="CI84" s="99"/>
      <c r="CJ84" s="99"/>
      <c r="CK84" s="99"/>
      <c r="CL84" s="99"/>
      <c r="CM84" s="99"/>
      <c r="CN84" s="99"/>
      <c r="CO84" s="99"/>
      <c r="CP84" s="99"/>
      <c r="CQ84" s="99"/>
      <c r="CR84" s="99"/>
      <c r="CS84" s="99"/>
      <c r="CT84" s="99"/>
      <c r="CU84" s="99"/>
      <c r="CV84" s="99"/>
      <c r="CW84" s="99"/>
      <c r="CX84" s="99"/>
      <c r="CY84" s="99"/>
    </row>
    <row r="85" spans="1:103" s="115" customFormat="1" x14ac:dyDescent="0.3">
      <c r="A85" s="113"/>
      <c r="B85" s="104" t="s">
        <v>94</v>
      </c>
      <c r="C85" s="105">
        <f t="shared" si="2"/>
        <v>125.98639815643189</v>
      </c>
      <c r="D85" s="114">
        <v>0</v>
      </c>
      <c r="E85" s="114">
        <v>22.806702326093447</v>
      </c>
      <c r="F85" s="114">
        <v>12.378795336943369</v>
      </c>
      <c r="G85" s="114">
        <v>5.8686246842567318</v>
      </c>
      <c r="H85" s="114">
        <v>19.459791608348105</v>
      </c>
      <c r="I85" s="114">
        <v>21.522227224244997</v>
      </c>
      <c r="J85" s="114">
        <v>7.6454140808684041</v>
      </c>
      <c r="K85" s="114">
        <v>0</v>
      </c>
      <c r="L85" s="114">
        <v>21.272167960966467</v>
      </c>
      <c r="M85" s="114">
        <v>0</v>
      </c>
      <c r="N85" s="114">
        <v>0</v>
      </c>
      <c r="O85" s="114">
        <v>0</v>
      </c>
      <c r="P85" s="114">
        <v>0</v>
      </c>
      <c r="Q85" s="114">
        <v>1.2336361065450379</v>
      </c>
      <c r="R85" s="114">
        <v>0.64387804232557644</v>
      </c>
      <c r="S85" s="114">
        <v>11.102375491962809</v>
      </c>
      <c r="T85" s="114">
        <v>0.47969966099672956</v>
      </c>
      <c r="U85" s="114">
        <v>0</v>
      </c>
      <c r="V85" s="114">
        <v>0</v>
      </c>
      <c r="W85" s="114">
        <v>0</v>
      </c>
      <c r="X85" s="114">
        <v>1.5730856328802196</v>
      </c>
      <c r="Y85" s="114">
        <v>0</v>
      </c>
      <c r="Z85" s="99"/>
      <c r="AA85" s="99"/>
      <c r="AB85" s="99"/>
      <c r="AC85" s="99"/>
      <c r="AD85" s="99"/>
      <c r="AE85" s="99"/>
      <c r="AF85" s="99"/>
      <c r="AG85" s="99"/>
      <c r="AH85" s="99"/>
      <c r="AI85" s="99"/>
      <c r="AJ85" s="99"/>
      <c r="AK85" s="99"/>
      <c r="AL85" s="99"/>
      <c r="AM85" s="99"/>
      <c r="AN85" s="99"/>
      <c r="AO85" s="99"/>
      <c r="AP85" s="99"/>
      <c r="AQ85" s="99"/>
      <c r="AR85" s="99"/>
      <c r="AS85" s="99"/>
      <c r="AT85" s="99"/>
      <c r="AU85" s="99"/>
      <c r="AV85" s="99"/>
      <c r="AW85" s="99"/>
      <c r="AX85" s="99"/>
      <c r="AY85" s="99"/>
      <c r="AZ85" s="99"/>
      <c r="BA85" s="99"/>
      <c r="BB85" s="99"/>
      <c r="BC85" s="99"/>
      <c r="BD85" s="99"/>
      <c r="BE85" s="99"/>
      <c r="BF85" s="99"/>
      <c r="BG85" s="99"/>
      <c r="BH85" s="99"/>
      <c r="BI85" s="99"/>
      <c r="BJ85" s="99"/>
      <c r="BK85" s="99"/>
      <c r="BL85" s="99"/>
      <c r="BM85" s="99"/>
      <c r="BN85" s="99"/>
      <c r="BO85" s="99"/>
      <c r="BP85" s="99"/>
      <c r="BQ85" s="99"/>
      <c r="BR85" s="99"/>
      <c r="BS85" s="99"/>
      <c r="BT85" s="99"/>
      <c r="BU85" s="99"/>
      <c r="BV85" s="99"/>
      <c r="BW85" s="99"/>
      <c r="BX85" s="99"/>
      <c r="BY85" s="99"/>
      <c r="BZ85" s="99"/>
      <c r="CA85" s="99"/>
      <c r="CB85" s="99"/>
      <c r="CC85" s="99"/>
      <c r="CD85" s="99"/>
      <c r="CE85" s="99"/>
      <c r="CF85" s="99"/>
      <c r="CG85" s="99"/>
      <c r="CH85" s="99"/>
      <c r="CI85" s="99"/>
      <c r="CJ85" s="99"/>
      <c r="CK85" s="99"/>
      <c r="CL85" s="99"/>
      <c r="CM85" s="99"/>
      <c r="CN85" s="99"/>
      <c r="CO85" s="99"/>
      <c r="CP85" s="99"/>
      <c r="CQ85" s="99"/>
      <c r="CR85" s="99"/>
      <c r="CS85" s="99"/>
      <c r="CT85" s="99"/>
      <c r="CU85" s="99"/>
      <c r="CV85" s="99"/>
      <c r="CW85" s="99"/>
      <c r="CX85" s="99"/>
      <c r="CY85" s="99"/>
    </row>
    <row r="86" spans="1:103" s="115" customFormat="1" x14ac:dyDescent="0.3">
      <c r="A86" s="113"/>
      <c r="B86" s="104" t="s">
        <v>95</v>
      </c>
      <c r="C86" s="105">
        <f t="shared" si="2"/>
        <v>19.67297603927971</v>
      </c>
      <c r="D86" s="114">
        <v>2.3768545290878516</v>
      </c>
      <c r="E86" s="114">
        <v>1.0163046507611471</v>
      </c>
      <c r="F86" s="114">
        <v>0</v>
      </c>
      <c r="G86" s="114">
        <v>9.5378017373474329</v>
      </c>
      <c r="H86" s="114">
        <v>0</v>
      </c>
      <c r="I86" s="114">
        <v>0</v>
      </c>
      <c r="J86" s="114">
        <v>0</v>
      </c>
      <c r="K86" s="114">
        <v>0</v>
      </c>
      <c r="L86" s="114">
        <v>0</v>
      </c>
      <c r="M86" s="114">
        <v>0</v>
      </c>
      <c r="N86" s="114">
        <v>0</v>
      </c>
      <c r="O86" s="114">
        <v>0</v>
      </c>
      <c r="P86" s="114">
        <v>0</v>
      </c>
      <c r="Q86" s="114">
        <v>4.3699082501217461</v>
      </c>
      <c r="R86" s="114">
        <v>2.3260710010678181</v>
      </c>
      <c r="S86" s="114">
        <v>0</v>
      </c>
      <c r="T86" s="114">
        <v>0</v>
      </c>
      <c r="U86" s="114">
        <v>0</v>
      </c>
      <c r="V86" s="114">
        <v>0</v>
      </c>
      <c r="W86" s="114">
        <v>0</v>
      </c>
      <c r="X86" s="114">
        <v>0</v>
      </c>
      <c r="Y86" s="114">
        <v>4.6035870893718363E-2</v>
      </c>
      <c r="Z86" s="99"/>
      <c r="AA86" s="99"/>
      <c r="AB86" s="99"/>
      <c r="AC86" s="99"/>
      <c r="AD86" s="99"/>
      <c r="AE86" s="99"/>
      <c r="AF86" s="99"/>
      <c r="AG86" s="99"/>
      <c r="AH86" s="99"/>
      <c r="AI86" s="99"/>
      <c r="AJ86" s="99"/>
      <c r="AK86" s="99"/>
      <c r="AL86" s="99"/>
      <c r="AM86" s="99"/>
      <c r="AN86" s="99"/>
      <c r="AO86" s="99"/>
      <c r="AP86" s="99"/>
      <c r="AQ86" s="99"/>
      <c r="AR86" s="99"/>
      <c r="AS86" s="99"/>
      <c r="AT86" s="99"/>
      <c r="AU86" s="99"/>
      <c r="AV86" s="99"/>
      <c r="AW86" s="99"/>
      <c r="AX86" s="99"/>
      <c r="AY86" s="99"/>
      <c r="AZ86" s="99"/>
      <c r="BA86" s="99"/>
      <c r="BB86" s="99"/>
      <c r="BC86" s="99"/>
      <c r="BD86" s="99"/>
      <c r="BE86" s="99"/>
      <c r="BF86" s="99"/>
      <c r="BG86" s="99"/>
      <c r="BH86" s="99"/>
      <c r="BI86" s="99"/>
      <c r="BJ86" s="99"/>
      <c r="BK86" s="99"/>
      <c r="BL86" s="99"/>
      <c r="BM86" s="99"/>
      <c r="BN86" s="99"/>
      <c r="BO86" s="99"/>
      <c r="BP86" s="99"/>
      <c r="BQ86" s="99"/>
      <c r="BR86" s="99"/>
      <c r="BS86" s="99"/>
      <c r="BT86" s="99"/>
      <c r="BU86" s="99"/>
      <c r="BV86" s="99"/>
      <c r="BW86" s="99"/>
      <c r="BX86" s="99"/>
      <c r="BY86" s="99"/>
      <c r="BZ86" s="99"/>
      <c r="CA86" s="99"/>
      <c r="CB86" s="99"/>
      <c r="CC86" s="99"/>
      <c r="CD86" s="99"/>
      <c r="CE86" s="99"/>
      <c r="CF86" s="99"/>
      <c r="CG86" s="99"/>
      <c r="CH86" s="99"/>
      <c r="CI86" s="99"/>
      <c r="CJ86" s="99"/>
      <c r="CK86" s="99"/>
      <c r="CL86" s="99"/>
      <c r="CM86" s="99"/>
      <c r="CN86" s="99"/>
      <c r="CO86" s="99"/>
      <c r="CP86" s="99"/>
      <c r="CQ86" s="99"/>
      <c r="CR86" s="99"/>
      <c r="CS86" s="99"/>
      <c r="CT86" s="99"/>
      <c r="CU86" s="99"/>
      <c r="CV86" s="99"/>
      <c r="CW86" s="99"/>
      <c r="CX86" s="99"/>
      <c r="CY86" s="99"/>
    </row>
    <row r="87" spans="1:103" s="115" customFormat="1" x14ac:dyDescent="0.3">
      <c r="A87" s="113"/>
      <c r="B87" s="104" t="s">
        <v>96</v>
      </c>
      <c r="C87" s="105">
        <f t="shared" si="2"/>
        <v>83.622268897599497</v>
      </c>
      <c r="D87" s="114">
        <v>0</v>
      </c>
      <c r="E87" s="114">
        <v>0.7125199253684098</v>
      </c>
      <c r="F87" s="114">
        <v>0</v>
      </c>
      <c r="G87" s="114">
        <v>6.6108426483065141</v>
      </c>
      <c r="H87" s="114">
        <v>0.89461063338770286</v>
      </c>
      <c r="I87" s="114">
        <v>0</v>
      </c>
      <c r="J87" s="114">
        <v>4.3425924889765462</v>
      </c>
      <c r="K87" s="114">
        <v>0</v>
      </c>
      <c r="L87" s="114">
        <v>0</v>
      </c>
      <c r="M87" s="114">
        <v>0</v>
      </c>
      <c r="N87" s="114">
        <v>0</v>
      </c>
      <c r="O87" s="114">
        <v>0</v>
      </c>
      <c r="P87" s="114">
        <v>68.599999999999994</v>
      </c>
      <c r="Q87" s="114">
        <v>1.4031247730866041</v>
      </c>
      <c r="R87" s="114">
        <v>1.0585784284737263</v>
      </c>
      <c r="S87" s="114">
        <v>0</v>
      </c>
      <c r="T87" s="114">
        <v>0</v>
      </c>
      <c r="U87" s="114">
        <v>0</v>
      </c>
      <c r="V87" s="114">
        <v>0</v>
      </c>
      <c r="W87" s="114">
        <v>0</v>
      </c>
      <c r="X87" s="114">
        <v>0</v>
      </c>
      <c r="Y87" s="114">
        <v>0</v>
      </c>
      <c r="Z87" s="99"/>
      <c r="AA87" s="99"/>
      <c r="AB87" s="99"/>
      <c r="AC87" s="99"/>
      <c r="AD87" s="99"/>
      <c r="AE87" s="99"/>
      <c r="AF87" s="99"/>
      <c r="AG87" s="99"/>
      <c r="AH87" s="99"/>
      <c r="AI87" s="99"/>
      <c r="AJ87" s="99"/>
      <c r="AK87" s="99"/>
      <c r="AL87" s="99"/>
      <c r="AM87" s="99"/>
      <c r="AN87" s="99"/>
      <c r="AO87" s="99"/>
      <c r="AP87" s="99"/>
      <c r="AQ87" s="99"/>
      <c r="AR87" s="99"/>
      <c r="AS87" s="99"/>
      <c r="AT87" s="99"/>
      <c r="AU87" s="99"/>
      <c r="AV87" s="99"/>
      <c r="AW87" s="99"/>
      <c r="AX87" s="99"/>
      <c r="AY87" s="99"/>
      <c r="AZ87" s="99"/>
      <c r="BA87" s="99"/>
      <c r="BB87" s="99"/>
      <c r="BC87" s="99"/>
      <c r="BD87" s="99"/>
      <c r="BE87" s="99"/>
      <c r="BF87" s="99"/>
      <c r="BG87" s="99"/>
      <c r="BH87" s="99"/>
      <c r="BI87" s="99"/>
      <c r="BJ87" s="99"/>
      <c r="BK87" s="99"/>
      <c r="BL87" s="99"/>
      <c r="BM87" s="99"/>
      <c r="BN87" s="99"/>
      <c r="BO87" s="99"/>
      <c r="BP87" s="99"/>
      <c r="BQ87" s="99"/>
      <c r="BR87" s="99"/>
      <c r="BS87" s="99"/>
      <c r="BT87" s="99"/>
      <c r="BU87" s="99"/>
      <c r="BV87" s="99"/>
      <c r="BW87" s="99"/>
      <c r="BX87" s="99"/>
      <c r="BY87" s="99"/>
      <c r="BZ87" s="99"/>
      <c r="CA87" s="99"/>
      <c r="CB87" s="99"/>
      <c r="CC87" s="99"/>
      <c r="CD87" s="99"/>
      <c r="CE87" s="99"/>
      <c r="CF87" s="99"/>
      <c r="CG87" s="99"/>
      <c r="CH87" s="99"/>
      <c r="CI87" s="99"/>
      <c r="CJ87" s="99"/>
      <c r="CK87" s="99"/>
      <c r="CL87" s="99"/>
      <c r="CM87" s="99"/>
      <c r="CN87" s="99"/>
      <c r="CO87" s="99"/>
      <c r="CP87" s="99"/>
      <c r="CQ87" s="99"/>
      <c r="CR87" s="99"/>
      <c r="CS87" s="99"/>
      <c r="CT87" s="99"/>
      <c r="CU87" s="99"/>
      <c r="CV87" s="99"/>
      <c r="CW87" s="99"/>
      <c r="CX87" s="99"/>
      <c r="CY87" s="99"/>
    </row>
    <row r="88" spans="1:103" s="115" customFormat="1" x14ac:dyDescent="0.3">
      <c r="A88" s="113"/>
      <c r="B88" s="104" t="s">
        <v>97</v>
      </c>
      <c r="C88" s="105">
        <f t="shared" si="2"/>
        <v>143.78099256530078</v>
      </c>
      <c r="D88" s="114">
        <v>0</v>
      </c>
      <c r="E88" s="114">
        <v>15.450804103148849</v>
      </c>
      <c r="F88" s="114">
        <v>3.3159319480444811</v>
      </c>
      <c r="G88" s="114">
        <v>2.4660866616986947</v>
      </c>
      <c r="H88" s="114">
        <v>3.3920005610158954</v>
      </c>
      <c r="I88" s="114">
        <v>2.4786022861207542</v>
      </c>
      <c r="J88" s="114">
        <v>8.9363720257901278</v>
      </c>
      <c r="K88" s="114">
        <v>0</v>
      </c>
      <c r="L88" s="114">
        <v>0</v>
      </c>
      <c r="M88" s="114">
        <v>0</v>
      </c>
      <c r="N88" s="114">
        <v>0</v>
      </c>
      <c r="O88" s="114">
        <v>0</v>
      </c>
      <c r="P88" s="114">
        <v>102.8</v>
      </c>
      <c r="Q88" s="114">
        <v>3.3127013018763565</v>
      </c>
      <c r="R88" s="114">
        <v>1.6284936776056125</v>
      </c>
      <c r="S88" s="114">
        <v>0</v>
      </c>
      <c r="T88" s="114">
        <v>0</v>
      </c>
      <c r="U88" s="114">
        <v>0</v>
      </c>
      <c r="V88" s="114">
        <v>0</v>
      </c>
      <c r="W88" s="114">
        <v>0</v>
      </c>
      <c r="X88" s="114">
        <v>0</v>
      </c>
      <c r="Y88" s="114">
        <v>0</v>
      </c>
      <c r="Z88" s="99"/>
      <c r="AA88" s="99"/>
      <c r="AB88" s="99"/>
      <c r="AC88" s="99"/>
      <c r="AD88" s="99"/>
      <c r="AE88" s="99"/>
      <c r="AF88" s="99"/>
      <c r="AG88" s="99"/>
      <c r="AH88" s="99"/>
      <c r="AI88" s="99"/>
      <c r="AJ88" s="99"/>
      <c r="AK88" s="99"/>
      <c r="AL88" s="99"/>
      <c r="AM88" s="99"/>
      <c r="AN88" s="99"/>
      <c r="AO88" s="99"/>
      <c r="AP88" s="99"/>
      <c r="AQ88" s="99"/>
      <c r="AR88" s="99"/>
      <c r="AS88" s="99"/>
      <c r="AT88" s="99"/>
      <c r="AU88" s="99"/>
      <c r="AV88" s="99"/>
      <c r="AW88" s="99"/>
      <c r="AX88" s="99"/>
      <c r="AY88" s="99"/>
      <c r="AZ88" s="99"/>
      <c r="BA88" s="99"/>
      <c r="BB88" s="99"/>
      <c r="BC88" s="99"/>
      <c r="BD88" s="99"/>
      <c r="BE88" s="99"/>
      <c r="BF88" s="99"/>
      <c r="BG88" s="99"/>
      <c r="BH88" s="99"/>
      <c r="BI88" s="99"/>
      <c r="BJ88" s="99"/>
      <c r="BK88" s="99"/>
      <c r="BL88" s="99"/>
      <c r="BM88" s="99"/>
      <c r="BN88" s="99"/>
      <c r="BO88" s="99"/>
      <c r="BP88" s="99"/>
      <c r="BQ88" s="99"/>
      <c r="BR88" s="99"/>
      <c r="BS88" s="99"/>
      <c r="BT88" s="99"/>
      <c r="BU88" s="99"/>
      <c r="BV88" s="99"/>
      <c r="BW88" s="99"/>
      <c r="BX88" s="99"/>
      <c r="BY88" s="99"/>
      <c r="BZ88" s="99"/>
      <c r="CA88" s="99"/>
      <c r="CB88" s="99"/>
      <c r="CC88" s="99"/>
      <c r="CD88" s="99"/>
      <c r="CE88" s="99"/>
      <c r="CF88" s="99"/>
      <c r="CG88" s="99"/>
      <c r="CH88" s="99"/>
      <c r="CI88" s="99"/>
      <c r="CJ88" s="99"/>
      <c r="CK88" s="99"/>
      <c r="CL88" s="99"/>
      <c r="CM88" s="99"/>
      <c r="CN88" s="99"/>
      <c r="CO88" s="99"/>
      <c r="CP88" s="99"/>
      <c r="CQ88" s="99"/>
      <c r="CR88" s="99"/>
      <c r="CS88" s="99"/>
      <c r="CT88" s="99"/>
      <c r="CU88" s="99"/>
      <c r="CV88" s="99"/>
      <c r="CW88" s="99"/>
      <c r="CX88" s="99"/>
      <c r="CY88" s="99"/>
    </row>
    <row r="89" spans="1:103" s="115" customFormat="1" x14ac:dyDescent="0.3">
      <c r="A89" s="113"/>
      <c r="B89" s="104" t="s">
        <v>98</v>
      </c>
      <c r="C89" s="105">
        <f t="shared" si="2"/>
        <v>49.626744679515831</v>
      </c>
      <c r="D89" s="114">
        <v>0</v>
      </c>
      <c r="E89" s="114">
        <v>23.221584146474299</v>
      </c>
      <c r="F89" s="114">
        <v>0</v>
      </c>
      <c r="G89" s="114">
        <v>6.9313908044270747</v>
      </c>
      <c r="H89" s="114">
        <v>3.1101646108723697</v>
      </c>
      <c r="I89" s="114">
        <v>0</v>
      </c>
      <c r="J89" s="114">
        <v>8.5418087572462316</v>
      </c>
      <c r="K89" s="114">
        <v>0</v>
      </c>
      <c r="L89" s="114">
        <v>0</v>
      </c>
      <c r="M89" s="114">
        <v>0</v>
      </c>
      <c r="N89" s="114">
        <v>0</v>
      </c>
      <c r="O89" s="114">
        <v>0</v>
      </c>
      <c r="P89" s="114">
        <v>7.8</v>
      </c>
      <c r="Q89" s="114">
        <v>0</v>
      </c>
      <c r="R89" s="114">
        <v>2.1796360495862643E-2</v>
      </c>
      <c r="S89" s="114">
        <v>0</v>
      </c>
      <c r="T89" s="114">
        <v>0</v>
      </c>
      <c r="U89" s="114">
        <v>0</v>
      </c>
      <c r="V89" s="114">
        <v>0</v>
      </c>
      <c r="W89" s="114">
        <v>0</v>
      </c>
      <c r="X89" s="114">
        <v>0</v>
      </c>
      <c r="Y89" s="114">
        <v>0</v>
      </c>
      <c r="Z89" s="99"/>
      <c r="AA89" s="99"/>
      <c r="AB89" s="99"/>
      <c r="AC89" s="99"/>
      <c r="AD89" s="99"/>
      <c r="AE89" s="99"/>
      <c r="AF89" s="99"/>
      <c r="AG89" s="99"/>
      <c r="AH89" s="99"/>
      <c r="AI89" s="99"/>
      <c r="AJ89" s="99"/>
      <c r="AK89" s="99"/>
      <c r="AL89" s="99"/>
      <c r="AM89" s="99"/>
      <c r="AN89" s="99"/>
      <c r="AO89" s="99"/>
      <c r="AP89" s="99"/>
      <c r="AQ89" s="99"/>
      <c r="AR89" s="99"/>
      <c r="AS89" s="99"/>
      <c r="AT89" s="99"/>
      <c r="AU89" s="99"/>
      <c r="AV89" s="99"/>
      <c r="AW89" s="99"/>
      <c r="AX89" s="99"/>
      <c r="AY89" s="99"/>
      <c r="AZ89" s="99"/>
      <c r="BA89" s="99"/>
      <c r="BB89" s="99"/>
      <c r="BC89" s="99"/>
      <c r="BD89" s="99"/>
      <c r="BE89" s="99"/>
      <c r="BF89" s="99"/>
      <c r="BG89" s="99"/>
      <c r="BH89" s="99"/>
      <c r="BI89" s="99"/>
      <c r="BJ89" s="99"/>
      <c r="BK89" s="99"/>
      <c r="BL89" s="99"/>
      <c r="BM89" s="99"/>
      <c r="BN89" s="99"/>
      <c r="BO89" s="99"/>
      <c r="BP89" s="99"/>
      <c r="BQ89" s="99"/>
      <c r="BR89" s="99"/>
      <c r="BS89" s="99"/>
      <c r="BT89" s="99"/>
      <c r="BU89" s="99"/>
      <c r="BV89" s="99"/>
      <c r="BW89" s="99"/>
      <c r="BX89" s="99"/>
      <c r="BY89" s="99"/>
      <c r="BZ89" s="99"/>
      <c r="CA89" s="99"/>
      <c r="CB89" s="99"/>
      <c r="CC89" s="99"/>
      <c r="CD89" s="99"/>
      <c r="CE89" s="99"/>
      <c r="CF89" s="99"/>
      <c r="CG89" s="99"/>
      <c r="CH89" s="99"/>
      <c r="CI89" s="99"/>
      <c r="CJ89" s="99"/>
      <c r="CK89" s="99"/>
      <c r="CL89" s="99"/>
      <c r="CM89" s="99"/>
      <c r="CN89" s="99"/>
      <c r="CO89" s="99"/>
      <c r="CP89" s="99"/>
      <c r="CQ89" s="99"/>
      <c r="CR89" s="99"/>
      <c r="CS89" s="99"/>
      <c r="CT89" s="99"/>
      <c r="CU89" s="99"/>
      <c r="CV89" s="99"/>
      <c r="CW89" s="99"/>
      <c r="CX89" s="99"/>
      <c r="CY89" s="99"/>
    </row>
    <row r="90" spans="1:103" x14ac:dyDescent="0.3">
      <c r="B90" s="104" t="s">
        <v>99</v>
      </c>
      <c r="C90" s="105">
        <f t="shared" si="2"/>
        <v>36.559676828531536</v>
      </c>
      <c r="D90" s="114">
        <v>0</v>
      </c>
      <c r="E90" s="114">
        <v>0</v>
      </c>
      <c r="F90" s="114">
        <v>1.8600426948031461</v>
      </c>
      <c r="G90" s="114">
        <v>11.595093143545837</v>
      </c>
      <c r="H90" s="114">
        <v>0</v>
      </c>
      <c r="I90" s="114">
        <v>0.47071798445484703</v>
      </c>
      <c r="J90" s="114">
        <v>0</v>
      </c>
      <c r="K90" s="114">
        <v>0</v>
      </c>
      <c r="L90" s="114">
        <v>0</v>
      </c>
      <c r="M90" s="114">
        <v>0</v>
      </c>
      <c r="N90" s="114">
        <v>0</v>
      </c>
      <c r="O90" s="114">
        <v>0</v>
      </c>
      <c r="P90" s="114">
        <v>0.78425972376495801</v>
      </c>
      <c r="Q90" s="114">
        <v>0</v>
      </c>
      <c r="R90" s="114">
        <v>0</v>
      </c>
      <c r="S90" s="114">
        <v>0</v>
      </c>
      <c r="T90" s="114">
        <v>0</v>
      </c>
      <c r="U90" s="114">
        <v>0</v>
      </c>
      <c r="V90" s="114">
        <v>21.849563281962752</v>
      </c>
      <c r="W90" s="114">
        <v>0</v>
      </c>
      <c r="X90" s="114">
        <v>0</v>
      </c>
      <c r="Y90" s="114">
        <v>0</v>
      </c>
      <c r="AE90" s="99"/>
    </row>
    <row r="91" spans="1:103" x14ac:dyDescent="0.3">
      <c r="B91" s="104" t="s">
        <v>100</v>
      </c>
      <c r="C91" s="105">
        <f t="shared" si="2"/>
        <v>186.26185988287961</v>
      </c>
      <c r="D91" s="114">
        <v>0</v>
      </c>
      <c r="E91" s="114">
        <v>16.799633698082211</v>
      </c>
      <c r="F91" s="114">
        <v>6.5757882208076088</v>
      </c>
      <c r="G91" s="114">
        <v>6.9845589550051148</v>
      </c>
      <c r="H91" s="114">
        <v>12.485839055398001</v>
      </c>
      <c r="I91" s="114">
        <v>11.47110619118539</v>
      </c>
      <c r="J91" s="114">
        <v>9.0813752491387714</v>
      </c>
      <c r="K91" s="114">
        <v>0</v>
      </c>
      <c r="L91" s="114">
        <v>38.344980603028674</v>
      </c>
      <c r="M91" s="114">
        <v>0</v>
      </c>
      <c r="N91" s="114">
        <v>30.294247766904377</v>
      </c>
      <c r="O91" s="114">
        <v>4.497929101002283</v>
      </c>
      <c r="P91" s="114">
        <v>0.27938343523329801</v>
      </c>
      <c r="Q91" s="114">
        <v>0</v>
      </c>
      <c r="R91" s="114">
        <v>0</v>
      </c>
      <c r="S91" s="114">
        <v>45.894957169860724</v>
      </c>
      <c r="T91" s="114">
        <v>0.5561650522871654</v>
      </c>
      <c r="U91" s="114">
        <v>1.1121248153841106</v>
      </c>
      <c r="V91" s="114">
        <v>0</v>
      </c>
      <c r="W91" s="114">
        <v>1.8837705695618663</v>
      </c>
      <c r="X91" s="114">
        <v>0</v>
      </c>
      <c r="Y91" s="114">
        <v>0</v>
      </c>
      <c r="AE91" s="99"/>
    </row>
    <row r="92" spans="1:103" x14ac:dyDescent="0.3">
      <c r="B92" s="104" t="s">
        <v>211</v>
      </c>
      <c r="C92" s="105">
        <f t="shared" si="2"/>
        <v>2.7159551526510457</v>
      </c>
      <c r="D92" s="114">
        <v>0</v>
      </c>
      <c r="E92" s="114">
        <v>0</v>
      </c>
      <c r="F92" s="114">
        <v>0</v>
      </c>
      <c r="G92" s="114">
        <v>2.694596528662272</v>
      </c>
      <c r="H92" s="114">
        <v>0</v>
      </c>
      <c r="I92" s="114">
        <v>0</v>
      </c>
      <c r="J92" s="114">
        <v>0</v>
      </c>
      <c r="K92" s="114">
        <v>0</v>
      </c>
      <c r="L92" s="114">
        <v>0</v>
      </c>
      <c r="M92" s="114">
        <v>0</v>
      </c>
      <c r="N92" s="114">
        <v>0</v>
      </c>
      <c r="O92" s="114">
        <v>0</v>
      </c>
      <c r="P92" s="114">
        <v>0</v>
      </c>
      <c r="Q92" s="114">
        <v>0</v>
      </c>
      <c r="R92" s="114">
        <v>2.1358623988773907E-2</v>
      </c>
      <c r="S92" s="114">
        <v>0</v>
      </c>
      <c r="T92" s="114">
        <v>0</v>
      </c>
      <c r="U92" s="114">
        <v>0</v>
      </c>
      <c r="V92" s="114">
        <v>0</v>
      </c>
      <c r="W92" s="114">
        <v>0</v>
      </c>
      <c r="X92" s="114">
        <v>0</v>
      </c>
      <c r="Y92" s="114">
        <v>0</v>
      </c>
      <c r="AE92" s="99"/>
    </row>
    <row r="93" spans="1:103" x14ac:dyDescent="0.3">
      <c r="B93" s="104" t="s">
        <v>101</v>
      </c>
      <c r="C93" s="105">
        <f t="shared" si="2"/>
        <v>43.660866090866321</v>
      </c>
      <c r="D93" s="114">
        <v>0</v>
      </c>
      <c r="E93" s="114">
        <v>2.4288558871543082</v>
      </c>
      <c r="F93" s="114">
        <v>0</v>
      </c>
      <c r="G93" s="114">
        <v>15.095119084618789</v>
      </c>
      <c r="H93" s="114">
        <v>0</v>
      </c>
      <c r="I93" s="114">
        <v>0</v>
      </c>
      <c r="J93" s="114">
        <v>0</v>
      </c>
      <c r="K93" s="114">
        <v>0</v>
      </c>
      <c r="L93" s="114">
        <v>0</v>
      </c>
      <c r="M93" s="114">
        <v>0</v>
      </c>
      <c r="N93" s="114">
        <v>0</v>
      </c>
      <c r="O93" s="114">
        <v>0</v>
      </c>
      <c r="P93" s="114">
        <v>0</v>
      </c>
      <c r="Q93" s="114">
        <v>0</v>
      </c>
      <c r="R93" s="114">
        <v>0</v>
      </c>
      <c r="S93" s="114">
        <v>0</v>
      </c>
      <c r="T93" s="114">
        <v>0</v>
      </c>
      <c r="U93" s="114">
        <v>0</v>
      </c>
      <c r="V93" s="114">
        <v>26.136891119093228</v>
      </c>
      <c r="W93" s="114">
        <v>0</v>
      </c>
      <c r="X93" s="114">
        <v>0</v>
      </c>
      <c r="Y93" s="114">
        <v>0</v>
      </c>
      <c r="AE93" s="99"/>
    </row>
    <row r="94" spans="1:103" x14ac:dyDescent="0.3">
      <c r="B94" s="104" t="s">
        <v>212</v>
      </c>
      <c r="C94" s="105">
        <f t="shared" si="2"/>
        <v>20.436294914630835</v>
      </c>
      <c r="D94" s="114">
        <v>0</v>
      </c>
      <c r="E94" s="114">
        <v>0</v>
      </c>
      <c r="F94" s="114">
        <v>0</v>
      </c>
      <c r="G94" s="114">
        <v>0</v>
      </c>
      <c r="H94" s="114">
        <v>0</v>
      </c>
      <c r="I94" s="114">
        <v>2.2358382394003726</v>
      </c>
      <c r="J94" s="114">
        <v>0</v>
      </c>
      <c r="K94" s="114">
        <v>1.7760467109570216E-2</v>
      </c>
      <c r="L94" s="114">
        <v>0</v>
      </c>
      <c r="M94" s="114">
        <v>0</v>
      </c>
      <c r="N94" s="114">
        <v>0</v>
      </c>
      <c r="O94" s="114">
        <v>0</v>
      </c>
      <c r="P94" s="114">
        <v>0</v>
      </c>
      <c r="Q94" s="114">
        <v>15.9670057997069</v>
      </c>
      <c r="R94" s="114">
        <v>2.696588676598816E-2</v>
      </c>
      <c r="S94" s="114">
        <v>0</v>
      </c>
      <c r="T94" s="114">
        <v>0</v>
      </c>
      <c r="U94" s="114">
        <v>0</v>
      </c>
      <c r="V94" s="114">
        <v>2.1887245216480018</v>
      </c>
      <c r="W94" s="114">
        <v>0</v>
      </c>
      <c r="X94" s="114">
        <v>0</v>
      </c>
      <c r="Y94" s="114">
        <v>0</v>
      </c>
      <c r="AE94" s="99"/>
    </row>
    <row r="95" spans="1:103" x14ac:dyDescent="0.3">
      <c r="B95" s="104" t="s">
        <v>213</v>
      </c>
      <c r="C95" s="105">
        <f t="shared" si="2"/>
        <v>22.375831984138848</v>
      </c>
      <c r="D95" s="114">
        <v>0</v>
      </c>
      <c r="E95" s="114">
        <v>0</v>
      </c>
      <c r="F95" s="114">
        <v>0</v>
      </c>
      <c r="G95" s="114">
        <v>5.7065644330440435</v>
      </c>
      <c r="H95" s="114">
        <v>0</v>
      </c>
      <c r="I95" s="114">
        <v>3.3590067138986903</v>
      </c>
      <c r="J95" s="114">
        <v>0</v>
      </c>
      <c r="K95" s="114">
        <v>0</v>
      </c>
      <c r="L95" s="114">
        <v>0</v>
      </c>
      <c r="M95" s="114">
        <v>0</v>
      </c>
      <c r="N95" s="114">
        <v>0</v>
      </c>
      <c r="O95" s="114">
        <v>0</v>
      </c>
      <c r="P95" s="114">
        <v>0</v>
      </c>
      <c r="Q95" s="114">
        <v>0</v>
      </c>
      <c r="R95" s="114">
        <v>0</v>
      </c>
      <c r="S95" s="114">
        <v>0</v>
      </c>
      <c r="T95" s="114">
        <v>0</v>
      </c>
      <c r="U95" s="114">
        <v>0</v>
      </c>
      <c r="V95" s="114">
        <v>13.310260837196116</v>
      </c>
      <c r="W95" s="114">
        <v>0</v>
      </c>
      <c r="X95" s="114">
        <v>0</v>
      </c>
      <c r="Y95" s="114">
        <v>0</v>
      </c>
      <c r="AE95" s="99"/>
    </row>
    <row r="96" spans="1:103" x14ac:dyDescent="0.3">
      <c r="B96" s="104" t="s">
        <v>102</v>
      </c>
      <c r="C96" s="105">
        <f t="shared" si="2"/>
        <v>1200.3614705853076</v>
      </c>
      <c r="D96" s="114">
        <v>0</v>
      </c>
      <c r="E96" s="114">
        <v>26.713156022030585</v>
      </c>
      <c r="F96" s="114">
        <v>245.36779150096982</v>
      </c>
      <c r="G96" s="114">
        <v>28.905376931169346</v>
      </c>
      <c r="H96" s="114">
        <v>88.97028810907014</v>
      </c>
      <c r="I96" s="114">
        <v>68.092428195921869</v>
      </c>
      <c r="J96" s="114">
        <v>147.75271528173528</v>
      </c>
      <c r="K96" s="114">
        <v>0</v>
      </c>
      <c r="L96" s="114">
        <v>10.210302196872654</v>
      </c>
      <c r="M96" s="114">
        <v>0</v>
      </c>
      <c r="N96" s="114">
        <v>0</v>
      </c>
      <c r="O96" s="114">
        <v>0</v>
      </c>
      <c r="P96" s="114">
        <v>24.374881344492835</v>
      </c>
      <c r="Q96" s="114">
        <v>1.0457071300201346</v>
      </c>
      <c r="R96" s="114">
        <v>2.135980927290237</v>
      </c>
      <c r="S96" s="114">
        <v>96.475292675434986</v>
      </c>
      <c r="T96" s="114">
        <v>3.1049271202990405</v>
      </c>
      <c r="U96" s="114">
        <v>0</v>
      </c>
      <c r="V96" s="114">
        <v>10.49650060860967</v>
      </c>
      <c r="W96" s="114">
        <v>0</v>
      </c>
      <c r="X96" s="114">
        <v>5.1140272925044608</v>
      </c>
      <c r="Y96" s="114">
        <v>441.60209524888643</v>
      </c>
      <c r="AE96" s="99"/>
    </row>
    <row r="97" spans="1:31" x14ac:dyDescent="0.3">
      <c r="B97" s="104" t="s">
        <v>218</v>
      </c>
      <c r="C97" s="118">
        <f>MIN(C5:C96)</f>
        <v>2.7159551526510457</v>
      </c>
      <c r="D97" s="119"/>
      <c r="E97" s="119"/>
      <c r="F97" s="119"/>
      <c r="G97" s="119"/>
      <c r="H97" s="119"/>
      <c r="I97" s="119"/>
      <c r="J97" s="119"/>
      <c r="K97" s="119"/>
      <c r="L97" s="119"/>
      <c r="M97" s="119"/>
      <c r="N97" s="119"/>
      <c r="O97" s="119"/>
      <c r="P97" s="119"/>
      <c r="Q97" s="119"/>
      <c r="R97" s="119"/>
      <c r="S97" s="119"/>
      <c r="T97" s="119"/>
      <c r="U97" s="119"/>
      <c r="V97" s="119"/>
      <c r="W97" s="119"/>
      <c r="X97" s="119"/>
      <c r="Y97" s="119"/>
      <c r="AE97" s="99"/>
    </row>
    <row r="98" spans="1:31" x14ac:dyDescent="0.3">
      <c r="B98" s="104" t="s">
        <v>219</v>
      </c>
      <c r="C98" s="118">
        <f>MAX(C5:C96)</f>
        <v>1215.3214616162732</v>
      </c>
      <c r="AE98" s="99"/>
    </row>
    <row r="99" spans="1:31" x14ac:dyDescent="0.3">
      <c r="B99" s="104" t="s">
        <v>220</v>
      </c>
      <c r="C99" s="118">
        <f>AVERAGE(C5:C96)</f>
        <v>243.88986784509009</v>
      </c>
      <c r="AE99" s="99"/>
    </row>
    <row r="100" spans="1:31" x14ac:dyDescent="0.3">
      <c r="B100" s="104" t="s">
        <v>221</v>
      </c>
      <c r="C100" s="118">
        <f>_xlfn.STDEV.S(C5:C96)</f>
        <v>296.57978303646996</v>
      </c>
      <c r="AE100" s="99"/>
    </row>
    <row r="101" spans="1:31" s="69" customFormat="1" x14ac:dyDescent="0.3">
      <c r="A101" s="104"/>
      <c r="B101" s="104" t="s">
        <v>0</v>
      </c>
      <c r="C101" s="105"/>
      <c r="D101" s="69" t="s">
        <v>215</v>
      </c>
      <c r="E101" s="69" t="s">
        <v>12</v>
      </c>
      <c r="F101" s="69" t="s">
        <v>3</v>
      </c>
      <c r="G101" s="69" t="s">
        <v>1</v>
      </c>
      <c r="H101" s="69" t="s">
        <v>6</v>
      </c>
      <c r="I101" s="69" t="s">
        <v>2</v>
      </c>
      <c r="J101" s="69" t="s">
        <v>5</v>
      </c>
      <c r="K101" s="69" t="s">
        <v>15</v>
      </c>
      <c r="L101" s="69" t="s">
        <v>9</v>
      </c>
      <c r="M101" s="69" t="s">
        <v>13</v>
      </c>
      <c r="N101" s="69" t="s">
        <v>17</v>
      </c>
      <c r="O101" s="69" t="s">
        <v>206</v>
      </c>
      <c r="P101" s="69" t="s">
        <v>10</v>
      </c>
      <c r="Q101" s="69" t="s">
        <v>4</v>
      </c>
      <c r="R101" s="69" t="s">
        <v>205</v>
      </c>
      <c r="S101" s="69" t="s">
        <v>14</v>
      </c>
      <c r="T101" s="69" t="s">
        <v>216</v>
      </c>
      <c r="U101" s="69" t="s">
        <v>217</v>
      </c>
      <c r="V101" s="69" t="s">
        <v>11</v>
      </c>
      <c r="W101" s="69" t="s">
        <v>16</v>
      </c>
      <c r="X101" s="69" t="s">
        <v>7</v>
      </c>
      <c r="Y101" s="69" t="s">
        <v>8</v>
      </c>
    </row>
    <row r="102" spans="1:31" s="121" customFormat="1" x14ac:dyDescent="0.3">
      <c r="A102" s="120"/>
      <c r="B102" s="105" t="s">
        <v>214</v>
      </c>
      <c r="C102" s="105"/>
      <c r="D102" s="121">
        <f t="shared" ref="D102:Y102" si="3">COUNTIF(D5:D96, "&lt;&gt;0") / COUNTA(D5:D96) * 100</f>
        <v>7.608695652173914</v>
      </c>
      <c r="E102" s="121">
        <f t="shared" si="3"/>
        <v>82.608695652173907</v>
      </c>
      <c r="F102" s="121">
        <f t="shared" si="3"/>
        <v>69.565217391304344</v>
      </c>
      <c r="G102" s="121">
        <f t="shared" si="3"/>
        <v>66.304347826086953</v>
      </c>
      <c r="H102" s="121">
        <f t="shared" si="3"/>
        <v>65.217391304347828</v>
      </c>
      <c r="I102" s="121">
        <f t="shared" si="3"/>
        <v>64.130434782608688</v>
      </c>
      <c r="J102" s="121">
        <f t="shared" si="3"/>
        <v>60.869565217391312</v>
      </c>
      <c r="K102" s="121">
        <f t="shared" si="3"/>
        <v>28.260869565217391</v>
      </c>
      <c r="L102" s="121">
        <f t="shared" si="3"/>
        <v>28.260869565217391</v>
      </c>
      <c r="M102" s="121">
        <f t="shared" si="3"/>
        <v>13.043478260869565</v>
      </c>
      <c r="N102" s="121">
        <f t="shared" si="3"/>
        <v>5.4347826086956523</v>
      </c>
      <c r="O102" s="121">
        <f t="shared" si="3"/>
        <v>3.2608695652173911</v>
      </c>
      <c r="P102" s="121">
        <f t="shared" si="3"/>
        <v>68.478260869565219</v>
      </c>
      <c r="Q102" s="121">
        <f t="shared" si="3"/>
        <v>45.652173913043477</v>
      </c>
      <c r="R102" s="121">
        <f t="shared" si="3"/>
        <v>39.130434782608695</v>
      </c>
      <c r="S102" s="121">
        <f t="shared" si="3"/>
        <v>19.565217391304348</v>
      </c>
      <c r="T102" s="121">
        <f t="shared" si="3"/>
        <v>6.5217391304347823</v>
      </c>
      <c r="U102" s="121">
        <f t="shared" si="3"/>
        <v>2.1739130434782608</v>
      </c>
      <c r="V102" s="121">
        <f t="shared" si="3"/>
        <v>29.347826086956523</v>
      </c>
      <c r="W102" s="121">
        <f t="shared" si="3"/>
        <v>3.2608695652173911</v>
      </c>
      <c r="X102" s="121">
        <f t="shared" si="3"/>
        <v>51.086956521739133</v>
      </c>
      <c r="Y102" s="121">
        <f t="shared" si="3"/>
        <v>5.4347826086956523</v>
      </c>
    </row>
    <row r="105" spans="1:31" x14ac:dyDescent="0.3">
      <c r="B105" s="105"/>
      <c r="AE105" s="99"/>
    </row>
    <row r="106" spans="1:31" x14ac:dyDescent="0.3">
      <c r="AE106" s="99"/>
    </row>
    <row r="107" spans="1:31" x14ac:dyDescent="0.3">
      <c r="G107" s="69"/>
      <c r="I107" s="69"/>
      <c r="AE107" s="99"/>
    </row>
    <row r="108" spans="1:31" x14ac:dyDescent="0.3">
      <c r="AE108" s="99"/>
    </row>
    <row r="109" spans="1:31" x14ac:dyDescent="0.3">
      <c r="AE109" s="99"/>
    </row>
    <row r="110" spans="1:31" x14ac:dyDescent="0.3">
      <c r="AE110" s="99"/>
    </row>
    <row r="111" spans="1:31" x14ac:dyDescent="0.3">
      <c r="AE111" s="99"/>
    </row>
    <row r="113" spans="31:31" x14ac:dyDescent="0.3">
      <c r="AE113" s="9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EB7BA-5DA6-4B0B-9963-2AA07FB489E0}">
  <sheetPr>
    <tabColor theme="7" tint="-0.249977111117893"/>
  </sheetPr>
  <dimension ref="A1:V89"/>
  <sheetViews>
    <sheetView workbookViewId="0">
      <selection activeCell="X33" sqref="X33"/>
    </sheetView>
  </sheetViews>
  <sheetFormatPr defaultRowHeight="12" x14ac:dyDescent="0.3"/>
  <cols>
    <col min="1" max="1" width="8.7265625" style="63"/>
    <col min="2" max="2" width="10.453125" style="63" customWidth="1"/>
    <col min="3" max="3" width="6.7265625" style="63" customWidth="1"/>
    <col min="4" max="12" width="8.81640625" style="125" bestFit="1" customWidth="1"/>
    <col min="13" max="13" width="9.26953125" style="125" bestFit="1" customWidth="1"/>
    <col min="14" max="15" width="8.81640625" style="125" bestFit="1" customWidth="1"/>
    <col min="16" max="16" width="9.26953125" style="125" bestFit="1" customWidth="1"/>
    <col min="17" max="17" width="8.81640625" style="125" bestFit="1" customWidth="1"/>
    <col min="18" max="18" width="9.26953125" style="125" bestFit="1" customWidth="1"/>
    <col min="19" max="22" width="8.81640625" style="125" bestFit="1" customWidth="1"/>
    <col min="23" max="16384" width="8.7265625" style="63"/>
  </cols>
  <sheetData>
    <row r="1" spans="1:22" s="123" customFormat="1" x14ac:dyDescent="0.3">
      <c r="A1" s="123" t="s">
        <v>228</v>
      </c>
      <c r="S1" s="124"/>
      <c r="T1" s="124"/>
      <c r="U1" s="124"/>
      <c r="V1" s="124"/>
    </row>
    <row r="2" spans="1:22" x14ac:dyDescent="0.3">
      <c r="A2" s="123" t="s">
        <v>222</v>
      </c>
      <c r="B2" s="123"/>
      <c r="C2" s="123"/>
      <c r="D2" s="123"/>
      <c r="E2" s="123"/>
      <c r="F2" s="123"/>
      <c r="G2" s="123"/>
      <c r="H2" s="123"/>
      <c r="I2" s="123"/>
    </row>
    <row r="3" spans="1:22" x14ac:dyDescent="0.3">
      <c r="A3" s="126" t="s">
        <v>227</v>
      </c>
      <c r="B3" s="126"/>
      <c r="C3" s="126"/>
      <c r="D3" s="37"/>
      <c r="E3" s="37" t="s">
        <v>226</v>
      </c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126"/>
      <c r="V3" s="126"/>
    </row>
    <row r="4" spans="1:22" x14ac:dyDescent="0.3">
      <c r="A4" s="20"/>
      <c r="B4" s="127"/>
      <c r="C4" s="127"/>
      <c r="D4" s="128" t="s">
        <v>229</v>
      </c>
      <c r="E4" s="129"/>
      <c r="F4" s="129"/>
      <c r="G4" s="129"/>
      <c r="H4" s="129"/>
      <c r="I4" s="129"/>
      <c r="J4" s="130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</row>
    <row r="5" spans="1:22" s="69" customFormat="1" x14ac:dyDescent="0.3">
      <c r="B5" s="32" t="s">
        <v>223</v>
      </c>
      <c r="C5" s="32"/>
      <c r="D5" s="108" t="s">
        <v>1</v>
      </c>
      <c r="E5" s="108" t="s">
        <v>2</v>
      </c>
      <c r="F5" s="108" t="s">
        <v>3</v>
      </c>
      <c r="G5" s="108" t="s">
        <v>4</v>
      </c>
      <c r="H5" s="108" t="s">
        <v>5</v>
      </c>
      <c r="I5" s="108" t="s">
        <v>6</v>
      </c>
      <c r="J5" s="108" t="s">
        <v>205</v>
      </c>
      <c r="K5" s="108" t="s">
        <v>7</v>
      </c>
      <c r="L5" s="108" t="s">
        <v>8</v>
      </c>
      <c r="M5" s="108" t="s">
        <v>9</v>
      </c>
      <c r="N5" s="108" t="s">
        <v>10</v>
      </c>
      <c r="O5" s="108" t="s">
        <v>11</v>
      </c>
      <c r="P5" s="108" t="s">
        <v>12</v>
      </c>
      <c r="Q5" s="108" t="s">
        <v>13</v>
      </c>
      <c r="R5" s="108" t="s">
        <v>14</v>
      </c>
      <c r="S5" s="108" t="s">
        <v>15</v>
      </c>
      <c r="T5" s="108" t="s">
        <v>16</v>
      </c>
      <c r="U5" s="108" t="s">
        <v>206</v>
      </c>
      <c r="V5" s="108" t="s">
        <v>17</v>
      </c>
    </row>
    <row r="6" spans="1:22" s="35" customFormat="1" x14ac:dyDescent="0.3">
      <c r="B6" s="131" t="s">
        <v>18</v>
      </c>
      <c r="C6" s="131"/>
      <c r="D6" s="37">
        <v>0</v>
      </c>
      <c r="E6" s="37">
        <v>0</v>
      </c>
      <c r="F6" s="37">
        <v>0</v>
      </c>
      <c r="G6" s="37">
        <v>0</v>
      </c>
      <c r="H6" s="37">
        <v>0.63319628519950377</v>
      </c>
      <c r="I6" s="37">
        <v>0.31213539999505291</v>
      </c>
      <c r="J6" s="37">
        <v>0</v>
      </c>
      <c r="K6" s="37">
        <v>0</v>
      </c>
      <c r="L6" s="37">
        <v>0</v>
      </c>
      <c r="M6" s="37">
        <v>0.99059083459814534</v>
      </c>
      <c r="N6" s="37">
        <v>0</v>
      </c>
      <c r="O6" s="37">
        <v>0</v>
      </c>
      <c r="P6" s="37">
        <v>1.0172015544683188</v>
      </c>
      <c r="Q6" s="37">
        <v>0.29267077562483623</v>
      </c>
      <c r="R6" s="37">
        <v>4.3889249661276679</v>
      </c>
      <c r="S6" s="37">
        <v>0.41421740703588628</v>
      </c>
      <c r="T6" s="37">
        <v>0</v>
      </c>
      <c r="U6" s="37">
        <v>0</v>
      </c>
      <c r="V6" s="37">
        <v>0</v>
      </c>
    </row>
    <row r="7" spans="1:22" s="35" customFormat="1" x14ac:dyDescent="0.3">
      <c r="B7" s="131" t="s">
        <v>19</v>
      </c>
      <c r="C7" s="131"/>
      <c r="D7" s="37">
        <v>0</v>
      </c>
      <c r="E7" s="37">
        <v>0</v>
      </c>
      <c r="F7" s="37">
        <v>0</v>
      </c>
      <c r="G7" s="37">
        <v>0</v>
      </c>
      <c r="H7" s="37">
        <v>0.11210364587575</v>
      </c>
      <c r="I7" s="37">
        <v>0</v>
      </c>
      <c r="J7" s="37">
        <v>0</v>
      </c>
      <c r="K7" s="37">
        <v>0</v>
      </c>
      <c r="L7" s="37">
        <v>0</v>
      </c>
      <c r="M7" s="37">
        <v>0</v>
      </c>
      <c r="N7" s="37">
        <v>0.36151182950620453</v>
      </c>
      <c r="O7" s="37">
        <v>0</v>
      </c>
      <c r="P7" s="37">
        <v>0.59966058867238647</v>
      </c>
      <c r="Q7" s="37">
        <v>0.11706312491994092</v>
      </c>
      <c r="R7" s="37">
        <v>0.67189610638841368</v>
      </c>
      <c r="S7" s="37">
        <v>0.28684113975959546</v>
      </c>
      <c r="T7" s="37">
        <v>0</v>
      </c>
      <c r="U7" s="37">
        <v>0</v>
      </c>
      <c r="V7" s="37">
        <v>0</v>
      </c>
    </row>
    <row r="8" spans="1:22" s="35" customFormat="1" x14ac:dyDescent="0.3">
      <c r="B8" s="131" t="s">
        <v>20</v>
      </c>
      <c r="C8" s="131"/>
      <c r="D8" s="37">
        <v>1.93071049298399</v>
      </c>
      <c r="E8" s="37">
        <v>32.489273764588781</v>
      </c>
      <c r="F8" s="37">
        <v>3.8555002441257962</v>
      </c>
      <c r="G8" s="37">
        <v>0</v>
      </c>
      <c r="H8" s="37">
        <v>1.8344159198283547</v>
      </c>
      <c r="I8" s="37">
        <v>1.0616532469839091</v>
      </c>
      <c r="J8" s="37">
        <v>0</v>
      </c>
      <c r="K8" s="37">
        <v>0</v>
      </c>
      <c r="L8" s="37">
        <v>0</v>
      </c>
      <c r="M8" s="37">
        <v>0.81219609790676484</v>
      </c>
      <c r="N8" s="37">
        <v>1.4125697777300183</v>
      </c>
      <c r="O8" s="37">
        <v>0</v>
      </c>
      <c r="P8" s="37">
        <v>3.8698360357043007</v>
      </c>
      <c r="Q8" s="37">
        <v>0.98897320042049541</v>
      </c>
      <c r="R8" s="37">
        <v>2.2302487852692776</v>
      </c>
      <c r="S8" s="37">
        <v>2.2259421623553637</v>
      </c>
      <c r="T8" s="37">
        <v>0</v>
      </c>
      <c r="U8" s="37">
        <v>0</v>
      </c>
      <c r="V8" s="37">
        <v>0.32176597855568145</v>
      </c>
    </row>
    <row r="9" spans="1:22" s="35" customFormat="1" x14ac:dyDescent="0.3">
      <c r="B9" s="131" t="s">
        <v>21</v>
      </c>
      <c r="C9" s="131"/>
      <c r="D9" s="37">
        <v>0</v>
      </c>
      <c r="E9" s="37">
        <v>0</v>
      </c>
      <c r="F9" s="37">
        <v>0</v>
      </c>
      <c r="G9" s="37">
        <v>0</v>
      </c>
      <c r="H9" s="37">
        <v>1.1739614158267</v>
      </c>
      <c r="I9" s="37">
        <v>0.34655457043697729</v>
      </c>
      <c r="J9" s="37">
        <v>0</v>
      </c>
      <c r="K9" s="37">
        <v>0</v>
      </c>
      <c r="L9" s="37">
        <v>0</v>
      </c>
      <c r="M9" s="37">
        <v>0.8847149117915456</v>
      </c>
      <c r="N9" s="37">
        <v>0.37845020212120911</v>
      </c>
      <c r="O9" s="37">
        <v>0</v>
      </c>
      <c r="P9" s="37">
        <v>9.2961172695036822</v>
      </c>
      <c r="Q9" s="37">
        <v>0.87805945010118647</v>
      </c>
      <c r="R9" s="37">
        <v>1.1488488204896772</v>
      </c>
      <c r="S9" s="37">
        <v>8.1566590833583543</v>
      </c>
      <c r="T9" s="37">
        <v>0</v>
      </c>
      <c r="U9" s="37">
        <v>0</v>
      </c>
      <c r="V9" s="37">
        <v>0</v>
      </c>
    </row>
    <row r="10" spans="1:22" s="35" customFormat="1" x14ac:dyDescent="0.3">
      <c r="B10" s="131" t="s">
        <v>22</v>
      </c>
      <c r="C10" s="131"/>
      <c r="D10" s="37">
        <v>0</v>
      </c>
      <c r="E10" s="37">
        <v>0</v>
      </c>
      <c r="F10" s="37">
        <v>0</v>
      </c>
      <c r="G10" s="37">
        <v>0</v>
      </c>
      <c r="H10" s="37">
        <v>0</v>
      </c>
      <c r="I10" s="37">
        <v>0</v>
      </c>
      <c r="J10" s="37">
        <v>0</v>
      </c>
      <c r="K10" s="37">
        <v>0</v>
      </c>
      <c r="L10" s="37">
        <v>0</v>
      </c>
      <c r="M10" s="37">
        <v>0.21853945960977272</v>
      </c>
      <c r="N10" s="37">
        <v>0.36117089023636817</v>
      </c>
      <c r="O10" s="37">
        <v>0</v>
      </c>
      <c r="P10" s="37">
        <v>1.0214382666522046</v>
      </c>
      <c r="Q10" s="37">
        <v>0.3219573366963091</v>
      </c>
      <c r="R10" s="37">
        <v>1.5676430295916637</v>
      </c>
      <c r="S10" s="37">
        <v>0.77858434761478179</v>
      </c>
      <c r="T10" s="37">
        <v>0</v>
      </c>
      <c r="U10" s="37">
        <v>0</v>
      </c>
      <c r="V10" s="37">
        <v>0</v>
      </c>
    </row>
    <row r="11" spans="1:22" s="35" customFormat="1" x14ac:dyDescent="0.3">
      <c r="B11" s="131" t="s">
        <v>23</v>
      </c>
      <c r="C11" s="131"/>
      <c r="D11" s="37">
        <v>0</v>
      </c>
      <c r="E11" s="37">
        <v>0</v>
      </c>
      <c r="F11" s="37">
        <v>0</v>
      </c>
      <c r="G11" s="37">
        <v>0</v>
      </c>
      <c r="H11" s="37">
        <v>0.31033718443338631</v>
      </c>
      <c r="I11" s="37">
        <v>0.13891536276946531</v>
      </c>
      <c r="J11" s="37">
        <v>0</v>
      </c>
      <c r="K11" s="37">
        <v>0</v>
      </c>
      <c r="L11" s="37">
        <v>0</v>
      </c>
      <c r="M11" s="37">
        <v>0.32876973610539012</v>
      </c>
      <c r="N11" s="37">
        <v>0</v>
      </c>
      <c r="O11" s="37">
        <v>0</v>
      </c>
      <c r="P11" s="37">
        <v>0.91532237510952785</v>
      </c>
      <c r="Q11" s="37">
        <v>0.19749710376442198</v>
      </c>
      <c r="R11" s="37">
        <v>1.735564955376522</v>
      </c>
      <c r="S11" s="37">
        <v>0.67547228038982166</v>
      </c>
      <c r="T11" s="37">
        <v>0</v>
      </c>
      <c r="U11" s="37">
        <v>0</v>
      </c>
      <c r="V11" s="37">
        <v>0</v>
      </c>
    </row>
    <row r="12" spans="1:22" s="35" customFormat="1" x14ac:dyDescent="0.3">
      <c r="B12" s="131" t="s">
        <v>24</v>
      </c>
      <c r="C12" s="131"/>
      <c r="D12" s="37">
        <v>0</v>
      </c>
      <c r="E12" s="37">
        <v>0</v>
      </c>
      <c r="F12" s="37">
        <v>0</v>
      </c>
      <c r="G12" s="37">
        <v>0</v>
      </c>
      <c r="H12" s="37">
        <v>0.15630724104262453</v>
      </c>
      <c r="I12" s="37">
        <v>0</v>
      </c>
      <c r="J12" s="37">
        <v>0</v>
      </c>
      <c r="K12" s="37">
        <v>0</v>
      </c>
      <c r="L12" s="37">
        <v>0</v>
      </c>
      <c r="M12" s="37">
        <v>0.18845607227028766</v>
      </c>
      <c r="N12" s="37">
        <v>0.32569590627124362</v>
      </c>
      <c r="O12" s="37">
        <v>0</v>
      </c>
      <c r="P12" s="37">
        <v>1.0725222957957583</v>
      </c>
      <c r="Q12" s="37">
        <v>0.1696952468527782</v>
      </c>
      <c r="R12" s="37">
        <v>0.55109091711196667</v>
      </c>
      <c r="S12" s="37">
        <v>1.0011269564090022</v>
      </c>
      <c r="T12" s="37">
        <v>0</v>
      </c>
      <c r="U12" s="37">
        <v>0</v>
      </c>
      <c r="V12" s="37">
        <v>0</v>
      </c>
    </row>
    <row r="13" spans="1:22" s="35" customFormat="1" x14ac:dyDescent="0.3">
      <c r="B13" s="131" t="s">
        <v>25</v>
      </c>
      <c r="C13" s="131"/>
      <c r="D13" s="37">
        <v>2.566219052268929</v>
      </c>
      <c r="E13" s="37">
        <v>0</v>
      </c>
      <c r="F13" s="37">
        <v>3.36274423768206</v>
      </c>
      <c r="G13" s="37">
        <v>0.26496440054152171</v>
      </c>
      <c r="H13" s="37">
        <v>1.733918317619485</v>
      </c>
      <c r="I13" s="37">
        <v>1.3406912866998439</v>
      </c>
      <c r="J13" s="37">
        <v>0</v>
      </c>
      <c r="K13" s="37">
        <v>0.67287473368174855</v>
      </c>
      <c r="L13" s="37">
        <v>37.686909775076934</v>
      </c>
      <c r="M13" s="37">
        <v>0.92044176340619321</v>
      </c>
      <c r="N13" s="37">
        <v>2.8146623714845909</v>
      </c>
      <c r="O13" s="37">
        <v>0</v>
      </c>
      <c r="P13" s="37">
        <v>1.7838190044343052</v>
      </c>
      <c r="Q13" s="37">
        <v>0</v>
      </c>
      <c r="R13" s="37">
        <v>11.035520872347496</v>
      </c>
      <c r="S13" s="37">
        <v>1.2797742840676889</v>
      </c>
      <c r="T13" s="37">
        <v>0</v>
      </c>
      <c r="U13" s="37">
        <v>0</v>
      </c>
      <c r="V13" s="37">
        <v>0</v>
      </c>
    </row>
    <row r="14" spans="1:22" s="35" customFormat="1" x14ac:dyDescent="0.3">
      <c r="B14" s="131" t="s">
        <v>26</v>
      </c>
      <c r="C14" s="131"/>
      <c r="D14" s="37">
        <v>0</v>
      </c>
      <c r="E14" s="37">
        <v>0</v>
      </c>
      <c r="F14" s="37">
        <v>0</v>
      </c>
      <c r="G14" s="37">
        <v>0</v>
      </c>
      <c r="H14" s="37">
        <v>0.56011290330762731</v>
      </c>
      <c r="I14" s="37">
        <v>0.2262214940026</v>
      </c>
      <c r="J14" s="37">
        <v>0</v>
      </c>
      <c r="K14" s="37">
        <v>0</v>
      </c>
      <c r="L14" s="37">
        <v>0</v>
      </c>
      <c r="M14" s="37">
        <v>0.50491579900692973</v>
      </c>
      <c r="N14" s="37">
        <v>0.35067480741093182</v>
      </c>
      <c r="O14" s="37">
        <v>0.25663528521321366</v>
      </c>
      <c r="P14" s="37">
        <v>1.4641456840234865</v>
      </c>
      <c r="Q14" s="37">
        <v>0.28154672128390457</v>
      </c>
      <c r="R14" s="37">
        <v>1.2292550320178592</v>
      </c>
      <c r="S14" s="37">
        <v>0.60984041162595004</v>
      </c>
      <c r="T14" s="37">
        <v>0</v>
      </c>
      <c r="U14" s="37">
        <v>0</v>
      </c>
      <c r="V14" s="37">
        <v>0</v>
      </c>
    </row>
    <row r="15" spans="1:22" s="35" customFormat="1" x14ac:dyDescent="0.3">
      <c r="B15" s="131" t="s">
        <v>27</v>
      </c>
      <c r="C15" s="131"/>
      <c r="D15" s="37">
        <v>0</v>
      </c>
      <c r="E15" s="37">
        <v>0</v>
      </c>
      <c r="F15" s="37">
        <v>0</v>
      </c>
      <c r="G15" s="37">
        <v>0</v>
      </c>
      <c r="H15" s="37">
        <v>0.66236060732317736</v>
      </c>
      <c r="I15" s="37">
        <v>0.19559283812480455</v>
      </c>
      <c r="J15" s="37">
        <v>0</v>
      </c>
      <c r="K15" s="37">
        <v>0</v>
      </c>
      <c r="L15" s="37">
        <v>0</v>
      </c>
      <c r="M15" s="37">
        <v>0.42170852316349183</v>
      </c>
      <c r="N15" s="37">
        <v>0.37136715414299093</v>
      </c>
      <c r="O15" s="37">
        <v>0</v>
      </c>
      <c r="P15" s="37">
        <v>2.4341427809247049</v>
      </c>
      <c r="Q15" s="37">
        <v>0.36647208938101367</v>
      </c>
      <c r="R15" s="37">
        <v>2.862251658371159</v>
      </c>
      <c r="S15" s="37">
        <v>1.8884902000809864</v>
      </c>
      <c r="T15" s="37">
        <v>0</v>
      </c>
      <c r="U15" s="37">
        <v>0</v>
      </c>
      <c r="V15" s="37">
        <v>0</v>
      </c>
    </row>
    <row r="16" spans="1:22" s="35" customFormat="1" x14ac:dyDescent="0.3">
      <c r="B16" s="131" t="s">
        <v>28</v>
      </c>
      <c r="C16" s="131"/>
      <c r="D16" s="37">
        <v>0</v>
      </c>
      <c r="E16" s="37">
        <v>0</v>
      </c>
      <c r="F16" s="37">
        <v>0</v>
      </c>
      <c r="G16" s="37">
        <v>0</v>
      </c>
      <c r="H16" s="37">
        <v>0.43084276464511362</v>
      </c>
      <c r="I16" s="37">
        <v>0.23159080507084545</v>
      </c>
      <c r="J16" s="37">
        <v>0</v>
      </c>
      <c r="K16" s="37">
        <v>0</v>
      </c>
      <c r="L16" s="37">
        <v>0</v>
      </c>
      <c r="M16" s="37">
        <v>0.54564400502801247</v>
      </c>
      <c r="N16" s="37">
        <v>0.37057809814162279</v>
      </c>
      <c r="O16" s="37">
        <v>0</v>
      </c>
      <c r="P16" s="37">
        <v>0.29703459975765456</v>
      </c>
      <c r="Q16" s="37">
        <v>0.14444756923736818</v>
      </c>
      <c r="R16" s="37">
        <v>0.61415082830398637</v>
      </c>
      <c r="S16" s="37">
        <v>0.10709476474122728</v>
      </c>
      <c r="T16" s="37">
        <v>0</v>
      </c>
      <c r="U16" s="37">
        <v>0</v>
      </c>
      <c r="V16" s="37">
        <v>0</v>
      </c>
    </row>
    <row r="17" spans="2:22" s="35" customFormat="1" x14ac:dyDescent="0.3">
      <c r="B17" s="131" t="s">
        <v>29</v>
      </c>
      <c r="C17" s="131"/>
      <c r="D17" s="37">
        <v>0</v>
      </c>
      <c r="E17" s="37">
        <v>0</v>
      </c>
      <c r="F17" s="37">
        <v>0</v>
      </c>
      <c r="G17" s="37">
        <v>0</v>
      </c>
      <c r="H17" s="37">
        <v>0.38490230656348179</v>
      </c>
      <c r="I17" s="37">
        <v>0.4935704507973091</v>
      </c>
      <c r="J17" s="37">
        <v>0</v>
      </c>
      <c r="K17" s="37">
        <v>0</v>
      </c>
      <c r="L17" s="37">
        <v>0</v>
      </c>
      <c r="M17" s="37">
        <v>1.1556289989190662</v>
      </c>
      <c r="N17" s="37">
        <v>0.35003566583658635</v>
      </c>
      <c r="O17" s="37">
        <v>0</v>
      </c>
      <c r="P17" s="37">
        <v>2.1817831202108411</v>
      </c>
      <c r="Q17" s="37">
        <v>3.7606520247676407</v>
      </c>
      <c r="R17" s="37">
        <v>1.1228852229235682</v>
      </c>
      <c r="S17" s="37">
        <v>0.9169567272519501</v>
      </c>
      <c r="T17" s="37">
        <v>0</v>
      </c>
      <c r="U17" s="37">
        <v>0</v>
      </c>
      <c r="V17" s="37">
        <v>0</v>
      </c>
    </row>
    <row r="18" spans="2:22" s="35" customFormat="1" x14ac:dyDescent="0.3">
      <c r="B18" s="131" t="s">
        <v>30</v>
      </c>
      <c r="C18" s="131"/>
      <c r="D18" s="37">
        <v>0</v>
      </c>
      <c r="E18" s="37">
        <v>0</v>
      </c>
      <c r="F18" s="37">
        <v>4.9771416650594015E-2</v>
      </c>
      <c r="G18" s="37">
        <v>0</v>
      </c>
      <c r="H18" s="37">
        <v>6.9461543344565016E-2</v>
      </c>
      <c r="I18" s="37">
        <v>0</v>
      </c>
      <c r="J18" s="37">
        <v>0</v>
      </c>
      <c r="K18" s="37">
        <v>0</v>
      </c>
      <c r="L18" s="37">
        <v>0</v>
      </c>
      <c r="M18" s="37">
        <v>0.11070179936478952</v>
      </c>
      <c r="N18" s="37">
        <v>0.28540544966553327</v>
      </c>
      <c r="O18" s="37">
        <v>0</v>
      </c>
      <c r="P18" s="37">
        <v>0.34552346556111319</v>
      </c>
      <c r="Q18" s="37">
        <v>0.15892722498408796</v>
      </c>
      <c r="R18" s="37">
        <v>0.49186264358629561</v>
      </c>
      <c r="S18" s="37">
        <v>0.25781531645477085</v>
      </c>
      <c r="T18" s="37">
        <v>0</v>
      </c>
      <c r="U18" s="37">
        <v>0</v>
      </c>
      <c r="V18" s="37">
        <v>0</v>
      </c>
    </row>
    <row r="19" spans="2:22" s="35" customFormat="1" x14ac:dyDescent="0.3">
      <c r="B19" s="131" t="s">
        <v>31</v>
      </c>
      <c r="C19" s="131"/>
      <c r="D19" s="37">
        <v>0</v>
      </c>
      <c r="E19" s="37">
        <v>0</v>
      </c>
      <c r="F19" s="37">
        <v>0</v>
      </c>
      <c r="G19" s="37">
        <v>0</v>
      </c>
      <c r="H19" s="37">
        <v>0.41080046615496668</v>
      </c>
      <c r="I19" s="37">
        <v>0.1026150985701815</v>
      </c>
      <c r="J19" s="37">
        <v>0</v>
      </c>
      <c r="K19" s="37">
        <v>0</v>
      </c>
      <c r="L19" s="37">
        <v>0</v>
      </c>
      <c r="M19" s="37">
        <v>0.21159668834362105</v>
      </c>
      <c r="N19" s="37">
        <v>0.37808234546359298</v>
      </c>
      <c r="O19" s="37">
        <v>0</v>
      </c>
      <c r="P19" s="37">
        <v>3.71432079970646</v>
      </c>
      <c r="Q19" s="37">
        <v>0.79315520143811957</v>
      </c>
      <c r="R19" s="37">
        <v>2.2446106752349557</v>
      </c>
      <c r="S19" s="37">
        <v>3.2145643488880351</v>
      </c>
      <c r="T19" s="37">
        <v>0</v>
      </c>
      <c r="U19" s="37">
        <v>0</v>
      </c>
      <c r="V19" s="37">
        <v>0</v>
      </c>
    </row>
    <row r="20" spans="2:22" s="35" customFormat="1" x14ac:dyDescent="0.3">
      <c r="B20" s="131" t="s">
        <v>32</v>
      </c>
      <c r="C20" s="131"/>
      <c r="D20" s="37">
        <v>0</v>
      </c>
      <c r="E20" s="37">
        <v>0.33497822300767743</v>
      </c>
      <c r="F20" s="37">
        <v>0.13614583768207653</v>
      </c>
      <c r="G20" s="37">
        <v>0</v>
      </c>
      <c r="H20" s="37">
        <v>0.37932893385537747</v>
      </c>
      <c r="I20" s="37">
        <v>0.21347608110258365</v>
      </c>
      <c r="J20" s="37">
        <v>0</v>
      </c>
      <c r="K20" s="37">
        <v>0</v>
      </c>
      <c r="L20" s="37">
        <v>0.18658702209980732</v>
      </c>
      <c r="M20" s="37">
        <v>0.33477099687076106</v>
      </c>
      <c r="N20" s="37">
        <v>0</v>
      </c>
      <c r="O20" s="37">
        <v>0</v>
      </c>
      <c r="P20" s="37">
        <v>0.44078293313751971</v>
      </c>
      <c r="Q20" s="37">
        <v>4.7551511484471884E-2</v>
      </c>
      <c r="R20" s="37">
        <v>0.9463066826482921</v>
      </c>
      <c r="S20" s="37">
        <v>5.1748040451694691E-2</v>
      </c>
      <c r="T20" s="37">
        <v>0</v>
      </c>
      <c r="U20" s="37">
        <v>0</v>
      </c>
      <c r="V20" s="37">
        <v>0</v>
      </c>
    </row>
    <row r="21" spans="2:22" s="35" customFormat="1" x14ac:dyDescent="0.3">
      <c r="B21" s="131" t="s">
        <v>33</v>
      </c>
      <c r="C21" s="131"/>
      <c r="D21" s="37">
        <v>0</v>
      </c>
      <c r="E21" s="37">
        <v>0</v>
      </c>
      <c r="F21" s="37">
        <v>5.9965549369410662E-2</v>
      </c>
      <c r="G21" s="37">
        <v>0</v>
      </c>
      <c r="H21" s="37">
        <v>5.2668238417188963E-2</v>
      </c>
      <c r="I21" s="37">
        <v>0</v>
      </c>
      <c r="J21" s="37">
        <v>0</v>
      </c>
      <c r="K21" s="37">
        <v>0</v>
      </c>
      <c r="L21" s="37">
        <v>0</v>
      </c>
      <c r="M21" s="37">
        <v>5.8406222745954167E-2</v>
      </c>
      <c r="N21" s="37">
        <v>0.34201470927684752</v>
      </c>
      <c r="O21" s="37">
        <v>0</v>
      </c>
      <c r="P21" s="37">
        <v>0.23958666195960249</v>
      </c>
      <c r="Q21" s="37">
        <v>7.8746886307717506E-2</v>
      </c>
      <c r="R21" s="37">
        <v>0.20857272226253509</v>
      </c>
      <c r="S21" s="37">
        <v>0.20077459026744154</v>
      </c>
      <c r="T21" s="37">
        <v>0</v>
      </c>
      <c r="U21" s="37">
        <v>0</v>
      </c>
      <c r="V21" s="37">
        <v>0</v>
      </c>
    </row>
    <row r="22" spans="2:22" s="35" customFormat="1" x14ac:dyDescent="0.3">
      <c r="B22" s="131" t="s">
        <v>34</v>
      </c>
      <c r="C22" s="131"/>
      <c r="D22" s="37">
        <v>0</v>
      </c>
      <c r="E22" s="37">
        <v>0</v>
      </c>
      <c r="F22" s="37">
        <v>0</v>
      </c>
      <c r="G22" s="37">
        <v>0</v>
      </c>
      <c r="H22" s="37">
        <v>0.84215891458434999</v>
      </c>
      <c r="I22" s="37">
        <v>0.25512508718901822</v>
      </c>
      <c r="J22" s="37">
        <v>0</v>
      </c>
      <c r="K22" s="37">
        <v>0</v>
      </c>
      <c r="L22" s="37">
        <v>0</v>
      </c>
      <c r="M22" s="37">
        <v>0.72941222257126037</v>
      </c>
      <c r="N22" s="37">
        <v>0.36504480139933182</v>
      </c>
      <c r="O22" s="37">
        <v>0</v>
      </c>
      <c r="P22" s="37">
        <v>1.7019665551266183</v>
      </c>
      <c r="Q22" s="37">
        <v>0.27711968413912724</v>
      </c>
      <c r="R22" s="37">
        <v>1.1207463347784863</v>
      </c>
      <c r="S22" s="37">
        <v>0.71696956785385002</v>
      </c>
      <c r="T22" s="37">
        <v>0</v>
      </c>
      <c r="U22" s="37">
        <v>0</v>
      </c>
      <c r="V22" s="37">
        <v>0</v>
      </c>
    </row>
    <row r="23" spans="2:22" s="35" customFormat="1" x14ac:dyDescent="0.3">
      <c r="B23" s="131" t="s">
        <v>35</v>
      </c>
      <c r="C23" s="131"/>
      <c r="D23" s="37">
        <v>0</v>
      </c>
      <c r="E23" s="37">
        <v>0</v>
      </c>
      <c r="F23" s="37">
        <v>0</v>
      </c>
      <c r="G23" s="37">
        <v>0</v>
      </c>
      <c r="H23" s="37">
        <v>0.19858679242600674</v>
      </c>
      <c r="I23" s="37">
        <v>7.8524614154638711E-2</v>
      </c>
      <c r="J23" s="37">
        <v>0</v>
      </c>
      <c r="K23" s="37">
        <v>0</v>
      </c>
      <c r="L23" s="37">
        <v>0</v>
      </c>
      <c r="M23" s="37">
        <v>0.28688139218718689</v>
      </c>
      <c r="N23" s="37">
        <v>0</v>
      </c>
      <c r="O23" s="37">
        <v>0</v>
      </c>
      <c r="P23" s="37">
        <v>1.4833705343680106</v>
      </c>
      <c r="Q23" s="37">
        <v>0.58502053943038534</v>
      </c>
      <c r="R23" s="37">
        <v>1.1669417455328852</v>
      </c>
      <c r="S23" s="37">
        <v>1.4525078563831744</v>
      </c>
      <c r="T23" s="37">
        <v>0</v>
      </c>
      <c r="U23" s="37">
        <v>0</v>
      </c>
      <c r="V23" s="37">
        <v>0</v>
      </c>
    </row>
    <row r="24" spans="2:22" s="35" customFormat="1" x14ac:dyDescent="0.3">
      <c r="B24" s="131" t="s">
        <v>36</v>
      </c>
      <c r="C24" s="131"/>
      <c r="D24" s="37">
        <v>0.32475320864054252</v>
      </c>
      <c r="E24" s="37">
        <v>0</v>
      </c>
      <c r="F24" s="37">
        <v>0.29277013598895724</v>
      </c>
      <c r="G24" s="37">
        <v>0</v>
      </c>
      <c r="H24" s="37">
        <v>0.42608715491017468</v>
      </c>
      <c r="I24" s="37">
        <v>0.11056280840583681</v>
      </c>
      <c r="J24" s="37">
        <v>0</v>
      </c>
      <c r="K24" s="37">
        <v>0</v>
      </c>
      <c r="L24" s="37">
        <v>0</v>
      </c>
      <c r="M24" s="37">
        <v>0.24236030486795287</v>
      </c>
      <c r="N24" s="37">
        <v>9.0303528968278771E-2</v>
      </c>
      <c r="O24" s="37">
        <v>0</v>
      </c>
      <c r="P24" s="37">
        <v>0.9107180656367484</v>
      </c>
      <c r="Q24" s="37">
        <v>9.6604758225051435E-2</v>
      </c>
      <c r="R24" s="37">
        <v>0.6131244525938937</v>
      </c>
      <c r="S24" s="37">
        <v>0.10028181895919008</v>
      </c>
      <c r="T24" s="37">
        <v>0</v>
      </c>
      <c r="U24" s="37">
        <v>0</v>
      </c>
      <c r="V24" s="37">
        <v>0</v>
      </c>
    </row>
    <row r="25" spans="2:22" s="35" customFormat="1" x14ac:dyDescent="0.3">
      <c r="B25" s="131" t="s">
        <v>37</v>
      </c>
      <c r="C25" s="131"/>
      <c r="D25" s="37">
        <v>0</v>
      </c>
      <c r="E25" s="37">
        <v>0</v>
      </c>
      <c r="F25" s="37">
        <v>0.13646888415665176</v>
      </c>
      <c r="G25" s="37">
        <v>0</v>
      </c>
      <c r="H25" s="37">
        <v>0.37746745433747597</v>
      </c>
      <c r="I25" s="37">
        <v>0.22458127033060959</v>
      </c>
      <c r="J25" s="37">
        <v>0</v>
      </c>
      <c r="K25" s="37">
        <v>0</v>
      </c>
      <c r="L25" s="37">
        <v>0.24642103706246277</v>
      </c>
      <c r="M25" s="37">
        <v>0.4417473620574619</v>
      </c>
      <c r="N25" s="37">
        <v>0</v>
      </c>
      <c r="O25" s="37">
        <v>0</v>
      </c>
      <c r="P25" s="37">
        <v>0.65406648648995447</v>
      </c>
      <c r="Q25" s="37">
        <v>8.7913176391088629E-2</v>
      </c>
      <c r="R25" s="37">
        <v>0.51333681135577158</v>
      </c>
      <c r="S25" s="37">
        <v>0.14026211552344547</v>
      </c>
      <c r="T25" s="37">
        <v>0</v>
      </c>
      <c r="U25" s="37">
        <v>0</v>
      </c>
      <c r="V25" s="37">
        <v>0</v>
      </c>
    </row>
    <row r="26" spans="2:22" s="35" customFormat="1" x14ac:dyDescent="0.3">
      <c r="B26" s="131" t="s">
        <v>38</v>
      </c>
      <c r="C26" s="131"/>
      <c r="D26" s="37">
        <v>0</v>
      </c>
      <c r="E26" s="37">
        <v>0</v>
      </c>
      <c r="F26" s="37">
        <v>0</v>
      </c>
      <c r="G26" s="37">
        <v>0</v>
      </c>
      <c r="H26" s="37">
        <v>0.27958763021195088</v>
      </c>
      <c r="I26" s="37">
        <v>0.69169600517190755</v>
      </c>
      <c r="J26" s="37">
        <v>0</v>
      </c>
      <c r="K26" s="37">
        <v>0</v>
      </c>
      <c r="L26" s="37">
        <v>0</v>
      </c>
      <c r="M26" s="37">
        <v>0.38923700253881499</v>
      </c>
      <c r="N26" s="37">
        <v>0</v>
      </c>
      <c r="O26" s="37">
        <v>0</v>
      </c>
      <c r="P26" s="37">
        <v>0.36167150219778899</v>
      </c>
      <c r="Q26" s="37">
        <v>0.11106127452481694</v>
      </c>
      <c r="R26" s="37">
        <v>0.35554729704129573</v>
      </c>
      <c r="S26" s="37">
        <v>0</v>
      </c>
      <c r="T26" s="37">
        <v>0</v>
      </c>
      <c r="U26" s="37">
        <v>0</v>
      </c>
      <c r="V26" s="37">
        <v>0</v>
      </c>
    </row>
    <row r="27" spans="2:22" s="35" customFormat="1" x14ac:dyDescent="0.3">
      <c r="B27" s="131" t="s">
        <v>39</v>
      </c>
      <c r="C27" s="131"/>
      <c r="D27" s="37">
        <v>0</v>
      </c>
      <c r="E27" s="37">
        <v>0</v>
      </c>
      <c r="F27" s="37">
        <v>0</v>
      </c>
      <c r="G27" s="37">
        <v>0</v>
      </c>
      <c r="H27" s="37">
        <v>8.8995937015037663E-2</v>
      </c>
      <c r="I27" s="37">
        <v>7.6889510269478017E-2</v>
      </c>
      <c r="J27" s="37">
        <v>0</v>
      </c>
      <c r="K27" s="37">
        <v>0</v>
      </c>
      <c r="L27" s="37">
        <v>0.17263562202856456</v>
      </c>
      <c r="M27" s="37">
        <v>0.15026348324511296</v>
      </c>
      <c r="N27" s="37">
        <v>0</v>
      </c>
      <c r="O27" s="37">
        <v>0</v>
      </c>
      <c r="P27" s="37">
        <v>0.28112078763147663</v>
      </c>
      <c r="Q27" s="37">
        <v>0.10160122833765545</v>
      </c>
      <c r="R27" s="37">
        <v>1.6763145041512479</v>
      </c>
      <c r="S27" s="37">
        <v>0.22650379835320983</v>
      </c>
      <c r="T27" s="37">
        <v>0</v>
      </c>
      <c r="U27" s="37">
        <v>0</v>
      </c>
      <c r="V27" s="37">
        <v>0</v>
      </c>
    </row>
    <row r="28" spans="2:22" s="35" customFormat="1" x14ac:dyDescent="0.3">
      <c r="B28" s="131" t="s">
        <v>40</v>
      </c>
      <c r="C28" s="131"/>
      <c r="D28" s="35">
        <v>0.85902451774771171</v>
      </c>
      <c r="E28" s="35">
        <v>0</v>
      </c>
      <c r="F28" s="35">
        <v>0.63671242030332698</v>
      </c>
      <c r="G28" s="35">
        <v>0.19911086526821359</v>
      </c>
      <c r="H28" s="35">
        <v>2.17319408298698</v>
      </c>
      <c r="I28" s="35">
        <v>0.2694393229780388</v>
      </c>
      <c r="J28" s="35">
        <v>0</v>
      </c>
      <c r="K28" s="35">
        <v>4.2580706578700375E-2</v>
      </c>
      <c r="L28" s="35">
        <v>0</v>
      </c>
      <c r="M28" s="35">
        <v>0.70409327603548655</v>
      </c>
      <c r="N28" s="35">
        <v>1.9804048954608036</v>
      </c>
      <c r="O28" s="35">
        <v>0</v>
      </c>
      <c r="P28" s="35">
        <v>7.4122068568076553</v>
      </c>
      <c r="Q28" s="35">
        <v>0</v>
      </c>
      <c r="R28" s="35">
        <v>1.7972748460248111</v>
      </c>
      <c r="S28" s="35">
        <v>5.6946969044241209</v>
      </c>
      <c r="T28" s="35">
        <v>0</v>
      </c>
      <c r="U28" s="35">
        <v>0</v>
      </c>
      <c r="V28" s="35">
        <v>0.76154862710122573</v>
      </c>
    </row>
    <row r="29" spans="2:22" s="35" customFormat="1" x14ac:dyDescent="0.3">
      <c r="B29" s="131" t="s">
        <v>41</v>
      </c>
      <c r="C29" s="131"/>
      <c r="D29" s="35">
        <v>0</v>
      </c>
      <c r="E29" s="35">
        <v>0</v>
      </c>
      <c r="F29" s="35">
        <v>1.2441051007985329</v>
      </c>
      <c r="G29" s="35">
        <v>0</v>
      </c>
      <c r="H29" s="35">
        <v>1.1048807006703538</v>
      </c>
      <c r="I29" s="35">
        <v>0.47146533361899196</v>
      </c>
      <c r="J29" s="35">
        <v>0</v>
      </c>
      <c r="K29" s="35">
        <v>3.1680702754409307</v>
      </c>
      <c r="L29" s="35">
        <v>51.831294672318442</v>
      </c>
      <c r="M29" s="35">
        <v>0.31454329765903399</v>
      </c>
      <c r="N29" s="35">
        <v>3.7991511337493429E-3</v>
      </c>
      <c r="O29" s="35">
        <v>0</v>
      </c>
      <c r="P29" s="35">
        <v>1.7449595352838325</v>
      </c>
      <c r="Q29" s="35">
        <v>0.13798870691225257</v>
      </c>
      <c r="R29" s="35">
        <v>0.38994468354950518</v>
      </c>
      <c r="S29" s="35">
        <v>1.0276912379876859</v>
      </c>
      <c r="T29" s="35">
        <v>0</v>
      </c>
      <c r="U29" s="35">
        <v>0</v>
      </c>
      <c r="V29" s="35">
        <v>0</v>
      </c>
    </row>
    <row r="30" spans="2:22" s="99" customFormat="1" x14ac:dyDescent="0.3">
      <c r="B30" s="131" t="s">
        <v>42</v>
      </c>
      <c r="C30" s="131"/>
      <c r="D30" s="35">
        <v>0</v>
      </c>
      <c r="E30" s="35">
        <v>0</v>
      </c>
      <c r="F30" s="35">
        <v>0.18159102056579093</v>
      </c>
      <c r="G30" s="35">
        <v>0</v>
      </c>
      <c r="H30" s="35">
        <v>2.4587241957461545</v>
      </c>
      <c r="I30" s="35">
        <v>0.27285251730187271</v>
      </c>
      <c r="J30" s="35">
        <v>0</v>
      </c>
      <c r="K30" s="35">
        <v>0</v>
      </c>
      <c r="L30" s="35">
        <v>0</v>
      </c>
      <c r="M30" s="35">
        <v>0.52289160413236035</v>
      </c>
      <c r="N30" s="35">
        <v>0.30880145728415453</v>
      </c>
      <c r="O30" s="35">
        <v>0</v>
      </c>
      <c r="P30" s="35">
        <v>9.5162812945000326</v>
      </c>
      <c r="Q30" s="35">
        <v>3.7865382907165572</v>
      </c>
      <c r="R30" s="35">
        <v>1.2610123431510183</v>
      </c>
      <c r="S30" s="35">
        <v>0.5453377352617228</v>
      </c>
      <c r="T30" s="35">
        <v>0</v>
      </c>
      <c r="U30" s="35">
        <v>0.49423912431976824</v>
      </c>
      <c r="V30" s="35">
        <v>1.8647178868515866</v>
      </c>
    </row>
    <row r="31" spans="2:22" s="99" customFormat="1" x14ac:dyDescent="0.3">
      <c r="B31" s="131" t="s">
        <v>43</v>
      </c>
      <c r="C31" s="131"/>
      <c r="D31" s="35">
        <v>0</v>
      </c>
      <c r="E31" s="35">
        <v>0</v>
      </c>
      <c r="F31" s="35">
        <v>0.17563426983837124</v>
      </c>
      <c r="G31" s="35">
        <v>0</v>
      </c>
      <c r="H31" s="35">
        <v>0.89853503888966746</v>
      </c>
      <c r="I31" s="35">
        <v>0.18548653964308048</v>
      </c>
      <c r="J31" s="35">
        <v>0</v>
      </c>
      <c r="K31" s="35">
        <v>0</v>
      </c>
      <c r="L31" s="35">
        <v>0</v>
      </c>
      <c r="M31" s="35">
        <v>0.56122588913455296</v>
      </c>
      <c r="N31" s="35">
        <v>0.10189773327274088</v>
      </c>
      <c r="O31" s="35">
        <v>0</v>
      </c>
      <c r="P31" s="35">
        <v>2.8860623505769931</v>
      </c>
      <c r="Q31" s="35">
        <v>0.36989912898865873</v>
      </c>
      <c r="R31" s="35">
        <v>1.0019652822106735</v>
      </c>
      <c r="S31" s="35">
        <v>1.4745052329851043</v>
      </c>
      <c r="T31" s="35">
        <v>0</v>
      </c>
      <c r="U31" s="35">
        <v>0</v>
      </c>
      <c r="V31" s="35">
        <v>6.2136576699961123E-2</v>
      </c>
    </row>
    <row r="32" spans="2:22" s="99" customFormat="1" x14ac:dyDescent="0.3">
      <c r="B32" s="131" t="s">
        <v>44</v>
      </c>
      <c r="C32" s="131"/>
      <c r="D32" s="35">
        <v>0</v>
      </c>
      <c r="E32" s="35">
        <v>0.32816797745796844</v>
      </c>
      <c r="F32" s="35">
        <v>0.14734155735253635</v>
      </c>
      <c r="G32" s="35">
        <v>0</v>
      </c>
      <c r="H32" s="35">
        <v>1.6020912217168499</v>
      </c>
      <c r="I32" s="35">
        <v>0.37386337987110002</v>
      </c>
      <c r="J32" s="35">
        <v>0</v>
      </c>
      <c r="K32" s="35">
        <v>0</v>
      </c>
      <c r="L32" s="35">
        <v>0</v>
      </c>
      <c r="M32" s="35">
        <v>0.77202045821103238</v>
      </c>
      <c r="N32" s="35">
        <v>23.71582799044905</v>
      </c>
      <c r="O32" s="35">
        <v>0</v>
      </c>
      <c r="P32" s="35">
        <v>10.468461396821226</v>
      </c>
      <c r="Q32" s="35">
        <v>0.59183585799587268</v>
      </c>
      <c r="R32" s="35">
        <v>1.0611677634724364</v>
      </c>
      <c r="S32" s="35">
        <v>6.6224003839573271</v>
      </c>
      <c r="T32" s="35">
        <v>0</v>
      </c>
      <c r="U32" s="35">
        <v>0</v>
      </c>
      <c r="V32" s="35">
        <v>0</v>
      </c>
    </row>
    <row r="33" spans="2:22" s="99" customFormat="1" x14ac:dyDescent="0.3">
      <c r="B33" s="131" t="s">
        <v>45</v>
      </c>
      <c r="C33" s="131"/>
      <c r="D33" s="35">
        <v>6.0839815163690929</v>
      </c>
      <c r="E33" s="35">
        <v>0</v>
      </c>
      <c r="F33" s="35">
        <v>0.28765172451244325</v>
      </c>
      <c r="G33" s="35">
        <v>0.22301194048354445</v>
      </c>
      <c r="H33" s="35">
        <v>0.38481348308982044</v>
      </c>
      <c r="I33" s="35">
        <v>0.11475050203995274</v>
      </c>
      <c r="J33" s="35">
        <v>0</v>
      </c>
      <c r="K33" s="35">
        <v>1.7047675178557138</v>
      </c>
      <c r="L33" s="35">
        <v>0</v>
      </c>
      <c r="M33" s="35">
        <v>0.66017095155970962</v>
      </c>
      <c r="N33" s="35">
        <v>1.4287220670102037</v>
      </c>
      <c r="O33" s="35">
        <v>0</v>
      </c>
      <c r="P33" s="35">
        <v>0.99772364358205112</v>
      </c>
      <c r="Q33" s="35">
        <v>0</v>
      </c>
      <c r="R33" s="35">
        <v>1.5443853024016967</v>
      </c>
      <c r="S33" s="35">
        <v>0.44419929423010396</v>
      </c>
      <c r="T33" s="35">
        <v>0</v>
      </c>
      <c r="U33" s="35">
        <v>0</v>
      </c>
      <c r="V33" s="35">
        <v>0</v>
      </c>
    </row>
    <row r="34" spans="2:22" s="99" customFormat="1" x14ac:dyDescent="0.3">
      <c r="B34" s="131" t="s">
        <v>46</v>
      </c>
      <c r="C34" s="131"/>
      <c r="D34" s="35">
        <v>0</v>
      </c>
      <c r="E34" s="35">
        <v>0</v>
      </c>
      <c r="F34" s="35">
        <v>0.36635586123334646</v>
      </c>
      <c r="G34" s="35">
        <v>0</v>
      </c>
      <c r="H34" s="35">
        <v>1.1957963748288876</v>
      </c>
      <c r="I34" s="35">
        <v>0.41119723704405758</v>
      </c>
      <c r="J34" s="35">
        <v>0</v>
      </c>
      <c r="K34" s="35">
        <v>0</v>
      </c>
      <c r="L34" s="35">
        <v>0.38232341150776405</v>
      </c>
      <c r="M34" s="35">
        <v>0.60755900990116485</v>
      </c>
      <c r="N34" s="35">
        <v>0</v>
      </c>
      <c r="O34" s="35">
        <v>0</v>
      </c>
      <c r="P34" s="35">
        <v>1.8692079146332616</v>
      </c>
      <c r="Q34" s="35">
        <v>0.2133685850471142</v>
      </c>
      <c r="R34" s="35">
        <v>0.77900710985149924</v>
      </c>
      <c r="S34" s="35">
        <v>1.2446400608294979</v>
      </c>
      <c r="T34" s="35">
        <v>0</v>
      </c>
      <c r="U34" s="35">
        <v>0</v>
      </c>
      <c r="V34" s="35">
        <v>0</v>
      </c>
    </row>
    <row r="35" spans="2:22" s="99" customFormat="1" x14ac:dyDescent="0.3">
      <c r="B35" s="131" t="s">
        <v>47</v>
      </c>
      <c r="C35" s="131"/>
      <c r="D35" s="35">
        <v>0</v>
      </c>
      <c r="E35" s="35">
        <v>0</v>
      </c>
      <c r="F35" s="35">
        <v>0.3028237012957119</v>
      </c>
      <c r="G35" s="35">
        <v>0</v>
      </c>
      <c r="H35" s="35">
        <v>2.3735353759743729</v>
      </c>
      <c r="I35" s="35">
        <v>0.24185184514747846</v>
      </c>
      <c r="J35" s="35">
        <v>0</v>
      </c>
      <c r="K35" s="35">
        <v>0</v>
      </c>
      <c r="L35" s="35">
        <v>0</v>
      </c>
      <c r="M35" s="35">
        <v>0.44563489940813839</v>
      </c>
      <c r="N35" s="35">
        <v>8.4226206869714687E-2</v>
      </c>
      <c r="O35" s="35">
        <v>0</v>
      </c>
      <c r="P35" s="35">
        <v>4.1582053432052319</v>
      </c>
      <c r="Q35" s="35">
        <v>1.7122298932608981</v>
      </c>
      <c r="R35" s="35">
        <v>1.5807554290069428</v>
      </c>
      <c r="S35" s="35">
        <v>7.4384305774402115</v>
      </c>
      <c r="T35" s="35">
        <v>0</v>
      </c>
      <c r="U35" s="35">
        <v>0.17656371894093301</v>
      </c>
      <c r="V35" s="35">
        <v>0.38169937416474775</v>
      </c>
    </row>
    <row r="36" spans="2:22" s="99" customFormat="1" x14ac:dyDescent="0.3">
      <c r="B36" s="131" t="s">
        <v>48</v>
      </c>
      <c r="C36" s="131"/>
      <c r="D36" s="35">
        <v>0</v>
      </c>
      <c r="E36" s="35">
        <v>0</v>
      </c>
      <c r="F36" s="35">
        <v>0.12850389173216559</v>
      </c>
      <c r="G36" s="35">
        <v>0</v>
      </c>
      <c r="H36" s="35">
        <v>0.21711696533598224</v>
      </c>
      <c r="I36" s="35">
        <v>9.8919534564116007E-2</v>
      </c>
      <c r="J36" s="35">
        <v>0</v>
      </c>
      <c r="K36" s="35">
        <v>0</v>
      </c>
      <c r="L36" s="35">
        <v>0</v>
      </c>
      <c r="M36" s="35">
        <v>0.3072679316468242</v>
      </c>
      <c r="N36" s="35">
        <v>0.76129287117244626</v>
      </c>
      <c r="O36" s="35">
        <v>0</v>
      </c>
      <c r="P36" s="35">
        <v>0.46136283565054259</v>
      </c>
      <c r="Q36" s="35">
        <v>0.18948422442665577</v>
      </c>
      <c r="R36" s="35">
        <v>0.85358502204905529</v>
      </c>
      <c r="S36" s="35">
        <v>0.23941213014652946</v>
      </c>
      <c r="T36" s="35">
        <v>0</v>
      </c>
      <c r="U36" s="35">
        <v>0</v>
      </c>
      <c r="V36" s="35">
        <v>0</v>
      </c>
    </row>
    <row r="37" spans="2:22" s="99" customFormat="1" x14ac:dyDescent="0.3">
      <c r="B37" s="131" t="s">
        <v>50</v>
      </c>
      <c r="C37" s="131"/>
      <c r="D37" s="35">
        <v>0</v>
      </c>
      <c r="E37" s="35">
        <v>0</v>
      </c>
      <c r="F37" s="35">
        <v>0.1966318063503828</v>
      </c>
      <c r="G37" s="35">
        <v>0.26781969721675331</v>
      </c>
      <c r="H37" s="35">
        <v>0.29138782431141774</v>
      </c>
      <c r="I37" s="35">
        <v>7.274212939032608E-2</v>
      </c>
      <c r="J37" s="35">
        <v>0</v>
      </c>
      <c r="K37" s="35">
        <v>0.12736912924485821</v>
      </c>
      <c r="L37" s="35">
        <v>0</v>
      </c>
      <c r="M37" s="35">
        <v>0.44187203213623072</v>
      </c>
      <c r="N37" s="35">
        <v>2.8291558725639745</v>
      </c>
      <c r="O37" s="35">
        <v>0</v>
      </c>
      <c r="P37" s="35">
        <v>1.8347788495099906</v>
      </c>
      <c r="Q37" s="35">
        <v>0</v>
      </c>
      <c r="R37" s="35">
        <v>0.77919899763854916</v>
      </c>
      <c r="S37" s="35">
        <v>0.89850422996901691</v>
      </c>
      <c r="T37" s="35">
        <v>0</v>
      </c>
      <c r="U37" s="35">
        <v>0</v>
      </c>
      <c r="V37" s="35">
        <v>0</v>
      </c>
    </row>
    <row r="38" spans="2:22" s="99" customFormat="1" x14ac:dyDescent="0.3">
      <c r="B38" s="131" t="s">
        <v>51</v>
      </c>
      <c r="C38" s="131"/>
      <c r="D38" s="35">
        <v>2.3774234495879014</v>
      </c>
      <c r="E38" s="35">
        <v>0</v>
      </c>
      <c r="F38" s="35">
        <v>0.44078894745459829</v>
      </c>
      <c r="G38" s="35">
        <v>0.29758133185437147</v>
      </c>
      <c r="H38" s="35">
        <v>1.0373533719919519</v>
      </c>
      <c r="I38" s="35">
        <v>0.6127768472493762</v>
      </c>
      <c r="J38" s="35">
        <v>0</v>
      </c>
      <c r="K38" s="35">
        <v>1.5523625184981382</v>
      </c>
      <c r="L38" s="35">
        <v>0</v>
      </c>
      <c r="M38" s="35">
        <v>1.5566397603469606</v>
      </c>
      <c r="N38" s="35">
        <v>2.0379343605865987</v>
      </c>
      <c r="O38" s="35">
        <v>0</v>
      </c>
      <c r="P38" s="35">
        <v>3.7328134539887143</v>
      </c>
      <c r="Q38" s="35">
        <v>0</v>
      </c>
      <c r="R38" s="35">
        <v>1.2804074333821407</v>
      </c>
      <c r="S38" s="35">
        <v>0.8335317689286672</v>
      </c>
      <c r="T38" s="35">
        <v>0</v>
      </c>
      <c r="U38" s="35">
        <v>0</v>
      </c>
      <c r="V38" s="35">
        <v>0</v>
      </c>
    </row>
    <row r="39" spans="2:22" s="99" customFormat="1" x14ac:dyDescent="0.3">
      <c r="B39" s="131" t="s">
        <v>53</v>
      </c>
      <c r="C39" s="131"/>
      <c r="D39" s="35">
        <v>0</v>
      </c>
      <c r="E39" s="35">
        <v>0</v>
      </c>
      <c r="F39" s="35">
        <v>0.85286966393457697</v>
      </c>
      <c r="G39" s="35">
        <v>0</v>
      </c>
      <c r="H39" s="35">
        <v>2.4483182210992598</v>
      </c>
      <c r="I39" s="35">
        <v>0.21880093885488267</v>
      </c>
      <c r="J39" s="35">
        <v>0</v>
      </c>
      <c r="K39" s="35">
        <v>0</v>
      </c>
      <c r="L39" s="35">
        <v>0.40041671385882377</v>
      </c>
      <c r="M39" s="35">
        <v>0.56542821568489232</v>
      </c>
      <c r="N39" s="35">
        <v>0</v>
      </c>
      <c r="O39" s="35">
        <v>0</v>
      </c>
      <c r="P39" s="35">
        <v>9.8360125337113775</v>
      </c>
      <c r="Q39" s="35">
        <v>2.3280991477178841</v>
      </c>
      <c r="R39" s="35">
        <v>0.98617784091058858</v>
      </c>
      <c r="S39" s="35">
        <v>10.607091360928447</v>
      </c>
      <c r="T39" s="35">
        <v>0</v>
      </c>
      <c r="U39" s="35">
        <v>0.5313384430257182</v>
      </c>
      <c r="V39" s="35">
        <v>0.43333462672419226</v>
      </c>
    </row>
    <row r="40" spans="2:22" s="35" customFormat="1" x14ac:dyDescent="0.3">
      <c r="B40" s="131" t="s">
        <v>54</v>
      </c>
      <c r="C40" s="131"/>
      <c r="D40" s="37">
        <v>0</v>
      </c>
      <c r="E40" s="37">
        <v>0</v>
      </c>
      <c r="F40" s="37">
        <v>0.44932804284879657</v>
      </c>
      <c r="G40" s="37">
        <v>0</v>
      </c>
      <c r="H40" s="37">
        <v>1.175078395355464</v>
      </c>
      <c r="I40" s="37">
        <v>0.35523092950595714</v>
      </c>
      <c r="J40" s="37">
        <v>0</v>
      </c>
      <c r="K40" s="37">
        <v>0</v>
      </c>
      <c r="L40" s="37">
        <v>0</v>
      </c>
      <c r="M40" s="37">
        <v>1.3804194401453471</v>
      </c>
      <c r="N40" s="37">
        <v>0.11224256583398036</v>
      </c>
      <c r="O40" s="37">
        <v>0</v>
      </c>
      <c r="P40" s="37">
        <v>4.183068209150675</v>
      </c>
      <c r="Q40" s="37">
        <v>0.6328785398478729</v>
      </c>
      <c r="R40" s="37">
        <v>1.5005973607798806</v>
      </c>
      <c r="S40" s="37">
        <v>1.408424514003167</v>
      </c>
      <c r="T40" s="37">
        <v>0</v>
      </c>
      <c r="U40" s="37">
        <v>0</v>
      </c>
      <c r="V40" s="37">
        <v>0</v>
      </c>
    </row>
    <row r="41" spans="2:22" s="99" customFormat="1" x14ac:dyDescent="0.3">
      <c r="B41" s="131" t="s">
        <v>55</v>
      </c>
      <c r="C41" s="131"/>
      <c r="D41" s="35">
        <v>4.1760621517943237</v>
      </c>
      <c r="E41" s="35">
        <v>0</v>
      </c>
      <c r="F41" s="35">
        <v>0.70820883734534024</v>
      </c>
      <c r="G41" s="35">
        <v>0.16175899892245746</v>
      </c>
      <c r="H41" s="35">
        <v>1.5150543491130484</v>
      </c>
      <c r="I41" s="35">
        <v>0.64313165360565683</v>
      </c>
      <c r="J41" s="35">
        <v>0</v>
      </c>
      <c r="K41" s="35">
        <v>0</v>
      </c>
      <c r="L41" s="35">
        <v>0</v>
      </c>
      <c r="M41" s="35">
        <v>1.7479723197937975</v>
      </c>
      <c r="N41" s="35">
        <v>0.88422074660188077</v>
      </c>
      <c r="O41" s="35">
        <v>0</v>
      </c>
      <c r="P41" s="35">
        <v>3.9867034279064315</v>
      </c>
      <c r="Q41" s="35">
        <v>0</v>
      </c>
      <c r="R41" s="35">
        <v>1.441035646203138</v>
      </c>
      <c r="S41" s="35">
        <v>0.97760571876141289</v>
      </c>
      <c r="T41" s="35">
        <v>0</v>
      </c>
      <c r="U41" s="35">
        <v>0</v>
      </c>
      <c r="V41" s="35">
        <v>0.23535285673562198</v>
      </c>
    </row>
    <row r="42" spans="2:22" s="35" customFormat="1" x14ac:dyDescent="0.3">
      <c r="B42" s="131" t="s">
        <v>56</v>
      </c>
      <c r="C42" s="131"/>
      <c r="D42" s="37">
        <v>1.7641631789055254</v>
      </c>
      <c r="E42" s="37">
        <v>0</v>
      </c>
      <c r="F42" s="37">
        <v>0</v>
      </c>
      <c r="G42" s="37">
        <v>0</v>
      </c>
      <c r="H42" s="37">
        <v>0.59147360376979763</v>
      </c>
      <c r="I42" s="37">
        <v>0.26578985057843929</v>
      </c>
      <c r="J42" s="37">
        <v>0</v>
      </c>
      <c r="K42" s="37">
        <v>0</v>
      </c>
      <c r="L42" s="37">
        <v>0</v>
      </c>
      <c r="M42" s="37">
        <v>0.74258702400454235</v>
      </c>
      <c r="N42" s="37">
        <v>0</v>
      </c>
      <c r="O42" s="37">
        <v>0</v>
      </c>
      <c r="P42" s="37">
        <v>0.94765791326820326</v>
      </c>
      <c r="Q42" s="37">
        <v>0.25607666738578033</v>
      </c>
      <c r="R42" s="37">
        <v>0.61674312139575616</v>
      </c>
      <c r="S42" s="37">
        <v>0.44928716566301541</v>
      </c>
      <c r="T42" s="37">
        <v>0</v>
      </c>
      <c r="U42" s="37">
        <v>0</v>
      </c>
      <c r="V42" s="37">
        <v>0</v>
      </c>
    </row>
    <row r="43" spans="2:22" s="35" customFormat="1" x14ac:dyDescent="0.3">
      <c r="B43" s="131" t="s">
        <v>57</v>
      </c>
      <c r="C43" s="131"/>
      <c r="D43" s="37">
        <v>0</v>
      </c>
      <c r="E43" s="37">
        <v>0</v>
      </c>
      <c r="F43" s="37">
        <v>0</v>
      </c>
      <c r="G43" s="37">
        <v>0</v>
      </c>
      <c r="H43" s="37">
        <v>0.83663764396845375</v>
      </c>
      <c r="I43" s="37">
        <v>0.53348888092855007</v>
      </c>
      <c r="J43" s="37">
        <v>0</v>
      </c>
      <c r="K43" s="37">
        <v>0</v>
      </c>
      <c r="L43" s="37">
        <v>0</v>
      </c>
      <c r="M43" s="37">
        <v>3.8637961395406357</v>
      </c>
      <c r="N43" s="37">
        <v>0</v>
      </c>
      <c r="O43" s="37">
        <v>0</v>
      </c>
      <c r="P43" s="37">
        <v>1.3711053718050819</v>
      </c>
      <c r="Q43" s="37">
        <v>0.34534221159991324</v>
      </c>
      <c r="R43" s="37">
        <v>32.634147164490798</v>
      </c>
      <c r="S43" s="37">
        <v>0.58879101509195086</v>
      </c>
      <c r="T43" s="37">
        <v>0.89712919292666649</v>
      </c>
      <c r="U43" s="37">
        <v>0</v>
      </c>
      <c r="V43" s="37">
        <v>0</v>
      </c>
    </row>
    <row r="44" spans="2:22" s="35" customFormat="1" x14ac:dyDescent="0.3">
      <c r="B44" s="131" t="s">
        <v>58</v>
      </c>
      <c r="C44" s="131"/>
      <c r="D44" s="37">
        <v>0</v>
      </c>
      <c r="E44" s="37">
        <v>4.6540659939474178</v>
      </c>
      <c r="F44" s="37">
        <v>0.23119925355092397</v>
      </c>
      <c r="G44" s="37">
        <v>0</v>
      </c>
      <c r="H44" s="37">
        <v>0.31597008868638554</v>
      </c>
      <c r="I44" s="37">
        <v>0.16470411073727448</v>
      </c>
      <c r="J44" s="37">
        <v>0</v>
      </c>
      <c r="K44" s="37">
        <v>0</v>
      </c>
      <c r="L44" s="37">
        <v>0.26637600273969175</v>
      </c>
      <c r="M44" s="37">
        <v>0.24224656195500088</v>
      </c>
      <c r="N44" s="37">
        <v>0</v>
      </c>
      <c r="O44" s="37">
        <v>0</v>
      </c>
      <c r="P44" s="37">
        <v>0.26463260218247503</v>
      </c>
      <c r="Q44" s="37">
        <v>0.20511682722573132</v>
      </c>
      <c r="R44" s="37">
        <v>0.33560252797118151</v>
      </c>
      <c r="S44" s="37">
        <v>0.10032774970835961</v>
      </c>
      <c r="T44" s="37">
        <v>0</v>
      </c>
      <c r="U44" s="37">
        <v>0</v>
      </c>
      <c r="V44" s="37">
        <v>0</v>
      </c>
    </row>
    <row r="45" spans="2:22" s="35" customFormat="1" x14ac:dyDescent="0.3">
      <c r="B45" s="131" t="s">
        <v>59</v>
      </c>
      <c r="C45" s="131"/>
      <c r="D45" s="37">
        <v>0</v>
      </c>
      <c r="E45" s="37">
        <v>0</v>
      </c>
      <c r="F45" s="37">
        <v>0.1213001738910098</v>
      </c>
      <c r="G45" s="37">
        <v>0</v>
      </c>
      <c r="H45" s="37">
        <v>0.18350821575973464</v>
      </c>
      <c r="I45" s="37">
        <v>0.11370153610571904</v>
      </c>
      <c r="J45" s="37">
        <v>0</v>
      </c>
      <c r="K45" s="37">
        <v>0</v>
      </c>
      <c r="L45" s="37">
        <v>0.27204643634703102</v>
      </c>
      <c r="M45" s="37">
        <v>0.24427006974029164</v>
      </c>
      <c r="N45" s="37">
        <v>0</v>
      </c>
      <c r="O45" s="37">
        <v>0</v>
      </c>
      <c r="P45" s="37">
        <v>0.27369271349513047</v>
      </c>
      <c r="Q45" s="37">
        <v>0</v>
      </c>
      <c r="R45" s="37">
        <v>0.45164153472612978</v>
      </c>
      <c r="S45" s="37">
        <v>0.10673240514656682</v>
      </c>
      <c r="T45" s="37">
        <v>0</v>
      </c>
      <c r="U45" s="37">
        <v>0</v>
      </c>
      <c r="V45" s="37">
        <v>0</v>
      </c>
    </row>
    <row r="46" spans="2:22" s="35" customFormat="1" x14ac:dyDescent="0.3">
      <c r="B46" s="131" t="s">
        <v>60</v>
      </c>
      <c r="C46" s="131"/>
      <c r="D46" s="37">
        <v>0</v>
      </c>
      <c r="E46" s="37">
        <v>0</v>
      </c>
      <c r="F46" s="37">
        <v>0.19816353094413647</v>
      </c>
      <c r="G46" s="37">
        <v>0</v>
      </c>
      <c r="H46" s="37">
        <v>0.28136245478566296</v>
      </c>
      <c r="I46" s="37">
        <v>0.22828286947334908</v>
      </c>
      <c r="J46" s="37">
        <v>0</v>
      </c>
      <c r="K46" s="37">
        <v>0.17091148826880803</v>
      </c>
      <c r="L46" s="37">
        <v>0.34229567257728588</v>
      </c>
      <c r="M46" s="37">
        <v>0.40568900723080226</v>
      </c>
      <c r="N46" s="37">
        <v>0</v>
      </c>
      <c r="O46" s="37">
        <v>0</v>
      </c>
      <c r="P46" s="37">
        <v>0.23396704753259329</v>
      </c>
      <c r="Q46" s="37">
        <v>2.914740855720354E-2</v>
      </c>
      <c r="R46" s="37">
        <v>0.29397485757263531</v>
      </c>
      <c r="S46" s="37">
        <v>6.5748728296680686E-2</v>
      </c>
      <c r="T46" s="37">
        <v>0</v>
      </c>
      <c r="U46" s="37">
        <v>0</v>
      </c>
      <c r="V46" s="37">
        <v>0</v>
      </c>
    </row>
    <row r="47" spans="2:22" s="35" customFormat="1" x14ac:dyDescent="0.3">
      <c r="B47" s="131" t="s">
        <v>61</v>
      </c>
      <c r="C47" s="131"/>
      <c r="D47" s="37">
        <v>0</v>
      </c>
      <c r="E47" s="37">
        <v>0</v>
      </c>
      <c r="F47" s="37">
        <v>0</v>
      </c>
      <c r="G47" s="37">
        <v>0</v>
      </c>
      <c r="H47" s="37">
        <v>0.27478912007365908</v>
      </c>
      <c r="I47" s="37">
        <v>0.16347918386393184</v>
      </c>
      <c r="J47" s="37">
        <v>0</v>
      </c>
      <c r="K47" s="37">
        <v>0</v>
      </c>
      <c r="L47" s="37">
        <v>0</v>
      </c>
      <c r="M47" s="37">
        <v>0.51077313515293388</v>
      </c>
      <c r="N47" s="37">
        <v>0.31491635630228643</v>
      </c>
      <c r="O47" s="37">
        <v>0</v>
      </c>
      <c r="P47" s="37">
        <v>0.59713596849269557</v>
      </c>
      <c r="Q47" s="37">
        <v>0.1338706695496818</v>
      </c>
      <c r="R47" s="37">
        <v>0.97208899859096365</v>
      </c>
      <c r="S47" s="37">
        <v>0.23898511152115001</v>
      </c>
      <c r="T47" s="37">
        <v>0</v>
      </c>
      <c r="U47" s="37">
        <v>0</v>
      </c>
      <c r="V47" s="37">
        <v>0</v>
      </c>
    </row>
    <row r="48" spans="2:22" s="35" customFormat="1" x14ac:dyDescent="0.3">
      <c r="B48" s="131" t="s">
        <v>62</v>
      </c>
      <c r="C48" s="131"/>
      <c r="D48" s="37">
        <v>1.8228608508167727</v>
      </c>
      <c r="E48" s="37">
        <v>0</v>
      </c>
      <c r="F48" s="37">
        <v>0</v>
      </c>
      <c r="G48" s="37">
        <v>0</v>
      </c>
      <c r="H48" s="37">
        <v>0.51273207404166177</v>
      </c>
      <c r="I48" s="37">
        <v>0.34216247779580439</v>
      </c>
      <c r="J48" s="37">
        <v>0</v>
      </c>
      <c r="K48" s="37">
        <v>0</v>
      </c>
      <c r="L48" s="37">
        <v>0</v>
      </c>
      <c r="M48" s="37">
        <v>0.74599230583350673</v>
      </c>
      <c r="N48" s="37">
        <v>0</v>
      </c>
      <c r="O48" s="37">
        <v>0</v>
      </c>
      <c r="P48" s="37">
        <v>1.0000895966659489</v>
      </c>
      <c r="Q48" s="37">
        <v>0.21657469588731695</v>
      </c>
      <c r="R48" s="37">
        <v>0.80472755417019748</v>
      </c>
      <c r="S48" s="37">
        <v>0.31505504054890654</v>
      </c>
      <c r="T48" s="37">
        <v>0</v>
      </c>
      <c r="U48" s="37">
        <v>0</v>
      </c>
      <c r="V48" s="37">
        <v>0</v>
      </c>
    </row>
    <row r="49" spans="2:22" s="35" customFormat="1" x14ac:dyDescent="0.3">
      <c r="B49" s="131" t="s">
        <v>63</v>
      </c>
      <c r="C49" s="131"/>
      <c r="D49" s="37">
        <v>0</v>
      </c>
      <c r="E49" s="37">
        <v>0</v>
      </c>
      <c r="F49" s="37">
        <v>0</v>
      </c>
      <c r="G49" s="37">
        <v>0</v>
      </c>
      <c r="H49" s="37">
        <v>0.32171058655788054</v>
      </c>
      <c r="I49" s="37">
        <v>0.7593695894822734</v>
      </c>
      <c r="J49" s="37">
        <v>0</v>
      </c>
      <c r="K49" s="37">
        <v>0</v>
      </c>
      <c r="L49" s="37">
        <v>0</v>
      </c>
      <c r="M49" s="37">
        <v>0.33244220389017332</v>
      </c>
      <c r="N49" s="37">
        <v>0</v>
      </c>
      <c r="O49" s="37">
        <v>0</v>
      </c>
      <c r="P49" s="37">
        <v>0.64941640812564549</v>
      </c>
      <c r="Q49" s="37">
        <v>0.17265410225589592</v>
      </c>
      <c r="R49" s="37">
        <v>0.49565951989569362</v>
      </c>
      <c r="S49" s="37">
        <v>0.24709086662111751</v>
      </c>
      <c r="T49" s="37">
        <v>0</v>
      </c>
      <c r="U49" s="37">
        <v>0</v>
      </c>
      <c r="V49" s="37">
        <v>0</v>
      </c>
    </row>
    <row r="50" spans="2:22" s="35" customFormat="1" x14ac:dyDescent="0.3">
      <c r="B50" s="131" t="s">
        <v>64</v>
      </c>
      <c r="C50" s="131"/>
      <c r="D50" s="37">
        <v>0</v>
      </c>
      <c r="E50" s="37">
        <v>0</v>
      </c>
      <c r="F50" s="37">
        <v>0.12571440885907778</v>
      </c>
      <c r="G50" s="37">
        <v>0</v>
      </c>
      <c r="H50" s="37">
        <v>0.25457837940864864</v>
      </c>
      <c r="I50" s="37">
        <v>0.17624899612341477</v>
      </c>
      <c r="J50" s="37">
        <v>0</v>
      </c>
      <c r="K50" s="37">
        <v>0</v>
      </c>
      <c r="L50" s="37">
        <v>0.25431852184914605</v>
      </c>
      <c r="M50" s="37">
        <v>0.29653842230925731</v>
      </c>
      <c r="N50" s="37">
        <v>0</v>
      </c>
      <c r="O50" s="37">
        <v>0</v>
      </c>
      <c r="P50" s="37">
        <v>0.39980467514555967</v>
      </c>
      <c r="Q50" s="37">
        <v>9.227880306843142E-2</v>
      </c>
      <c r="R50" s="37">
        <v>0.57545533299232354</v>
      </c>
      <c r="S50" s="37">
        <v>0.13615175475569274</v>
      </c>
      <c r="T50" s="37">
        <v>0</v>
      </c>
      <c r="U50" s="37">
        <v>0</v>
      </c>
      <c r="V50" s="37">
        <v>0</v>
      </c>
    </row>
    <row r="51" spans="2:22" s="35" customFormat="1" x14ac:dyDescent="0.3">
      <c r="B51" s="131" t="s">
        <v>65</v>
      </c>
      <c r="C51" s="131"/>
      <c r="D51" s="37">
        <v>0</v>
      </c>
      <c r="E51" s="37">
        <v>0</v>
      </c>
      <c r="F51" s="37">
        <v>9.8469306163250711E-2</v>
      </c>
      <c r="G51" s="37">
        <v>0</v>
      </c>
      <c r="H51" s="37">
        <v>0.16263225030049583</v>
      </c>
      <c r="I51" s="37">
        <v>0</v>
      </c>
      <c r="J51" s="37">
        <v>0</v>
      </c>
      <c r="K51" s="37">
        <v>0</v>
      </c>
      <c r="L51" s="37">
        <v>0</v>
      </c>
      <c r="M51" s="37">
        <v>0.27183926042916279</v>
      </c>
      <c r="N51" s="37">
        <v>0.44528081777192241</v>
      </c>
      <c r="O51" s="37">
        <v>0</v>
      </c>
      <c r="P51" s="37">
        <v>0.72999460344580458</v>
      </c>
      <c r="Q51" s="37">
        <v>0.24902153460388216</v>
      </c>
      <c r="R51" s="37">
        <v>0.92335781980221698</v>
      </c>
      <c r="S51" s="37">
        <v>0.3879426379097054</v>
      </c>
      <c r="T51" s="37">
        <v>0</v>
      </c>
      <c r="U51" s="37">
        <v>0</v>
      </c>
      <c r="V51" s="37">
        <v>0</v>
      </c>
    </row>
    <row r="52" spans="2:22" s="35" customFormat="1" x14ac:dyDescent="0.3">
      <c r="B52" s="131" t="s">
        <v>66</v>
      </c>
      <c r="C52" s="131"/>
      <c r="D52" s="37">
        <v>0</v>
      </c>
      <c r="E52" s="37">
        <v>0</v>
      </c>
      <c r="F52" s="37">
        <v>0</v>
      </c>
      <c r="G52" s="37">
        <v>0</v>
      </c>
      <c r="H52" s="37">
        <v>2.6614806278326637</v>
      </c>
      <c r="I52" s="37">
        <v>1.3119136804623794</v>
      </c>
      <c r="J52" s="37">
        <v>0</v>
      </c>
      <c r="K52" s="37">
        <v>0</v>
      </c>
      <c r="L52" s="37">
        <v>0</v>
      </c>
      <c r="M52" s="37">
        <v>6.7655696581030629</v>
      </c>
      <c r="N52" s="37">
        <v>0</v>
      </c>
      <c r="O52" s="37">
        <v>0</v>
      </c>
      <c r="P52" s="37">
        <v>0.45463276951899806</v>
      </c>
      <c r="Q52" s="37">
        <v>0.24785603277339111</v>
      </c>
      <c r="R52" s="37">
        <v>0.86501542973432066</v>
      </c>
      <c r="S52" s="37">
        <v>0</v>
      </c>
      <c r="T52" s="37">
        <v>0</v>
      </c>
      <c r="U52" s="37">
        <v>0</v>
      </c>
      <c r="V52" s="37">
        <v>0</v>
      </c>
    </row>
    <row r="53" spans="2:22" s="99" customFormat="1" x14ac:dyDescent="0.3">
      <c r="B53" s="131" t="s">
        <v>67</v>
      </c>
      <c r="C53" s="131"/>
      <c r="D53" s="35">
        <v>0</v>
      </c>
      <c r="E53" s="35">
        <v>0</v>
      </c>
      <c r="F53" s="35">
        <v>0.30603567147894994</v>
      </c>
      <c r="G53" s="35">
        <v>0</v>
      </c>
      <c r="H53" s="35">
        <v>1.3934590448366526</v>
      </c>
      <c r="I53" s="35">
        <v>0.24688912728116569</v>
      </c>
      <c r="J53" s="35">
        <v>0</v>
      </c>
      <c r="K53" s="35">
        <v>0.59485664537126026</v>
      </c>
      <c r="L53" s="35">
        <v>0.30892879592303379</v>
      </c>
      <c r="M53" s="35">
        <v>0.32046488369806003</v>
      </c>
      <c r="N53" s="35">
        <v>0</v>
      </c>
      <c r="O53" s="35">
        <v>0</v>
      </c>
      <c r="P53" s="35">
        <v>5.9912371027539724</v>
      </c>
      <c r="Q53" s="35">
        <v>0.75223636109024783</v>
      </c>
      <c r="R53" s="35">
        <v>0.82139650934829656</v>
      </c>
      <c r="S53" s="35">
        <v>4.7047250466872574</v>
      </c>
      <c r="T53" s="35">
        <v>0</v>
      </c>
      <c r="U53" s="35">
        <v>0</v>
      </c>
      <c r="V53" s="35">
        <v>0</v>
      </c>
    </row>
    <row r="54" spans="2:22" s="99" customFormat="1" x14ac:dyDescent="0.3">
      <c r="B54" s="131" t="s">
        <v>68</v>
      </c>
      <c r="C54" s="131"/>
      <c r="D54" s="35">
        <v>0</v>
      </c>
      <c r="E54" s="35">
        <v>1.0291578389736458</v>
      </c>
      <c r="F54" s="35">
        <v>0</v>
      </c>
      <c r="G54" s="35">
        <v>0</v>
      </c>
      <c r="H54" s="35">
        <v>0.17844211246275909</v>
      </c>
      <c r="I54" s="35">
        <v>0.11424823835531819</v>
      </c>
      <c r="J54" s="35">
        <v>0</v>
      </c>
      <c r="K54" s="35">
        <v>0</v>
      </c>
      <c r="L54" s="35">
        <v>0</v>
      </c>
      <c r="M54" s="35">
        <v>0.67749668876201752</v>
      </c>
      <c r="N54" s="35">
        <v>9.7307046827038484</v>
      </c>
      <c r="O54" s="35">
        <v>0</v>
      </c>
      <c r="P54" s="35">
        <v>0.34147440446830912</v>
      </c>
      <c r="Q54" s="35">
        <v>0.14723213705311364</v>
      </c>
      <c r="R54" s="35">
        <v>9.6814476874824997</v>
      </c>
      <c r="S54" s="35">
        <v>8.8140127823131825E-2</v>
      </c>
      <c r="T54" s="35">
        <v>0.11945408301031364</v>
      </c>
      <c r="U54" s="35">
        <v>0</v>
      </c>
      <c r="V54" s="35">
        <v>0</v>
      </c>
    </row>
    <row r="55" spans="2:22" s="99" customFormat="1" x14ac:dyDescent="0.3">
      <c r="B55" s="131" t="s">
        <v>69</v>
      </c>
      <c r="C55" s="131"/>
      <c r="D55" s="35">
        <v>0</v>
      </c>
      <c r="E55" s="35">
        <v>0</v>
      </c>
      <c r="F55" s="35">
        <v>2.3911357759921872</v>
      </c>
      <c r="G55" s="35">
        <v>0</v>
      </c>
      <c r="H55" s="35">
        <v>1.8812497408196216</v>
      </c>
      <c r="I55" s="35">
        <v>0.26251461595614856</v>
      </c>
      <c r="J55" s="35">
        <v>0</v>
      </c>
      <c r="K55" s="35">
        <v>5.0105287557667806E-2</v>
      </c>
      <c r="L55" s="35">
        <v>0</v>
      </c>
      <c r="M55" s="35">
        <v>0.25499887122284759</v>
      </c>
      <c r="N55" s="35">
        <v>0.22234194915980576</v>
      </c>
      <c r="O55" s="35">
        <v>0</v>
      </c>
      <c r="P55" s="35">
        <v>5.2035104452725953</v>
      </c>
      <c r="Q55" s="35">
        <v>1.496002745386054</v>
      </c>
      <c r="R55" s="35">
        <v>0.7699480269385035</v>
      </c>
      <c r="S55" s="35">
        <v>22.997865591629331</v>
      </c>
      <c r="T55" s="35">
        <v>0</v>
      </c>
      <c r="U55" s="35">
        <v>1.391289886886526</v>
      </c>
      <c r="V55" s="35">
        <v>0.15793606549359776</v>
      </c>
    </row>
    <row r="56" spans="2:22" s="99" customFormat="1" x14ac:dyDescent="0.3">
      <c r="B56" s="131" t="s">
        <v>70</v>
      </c>
      <c r="C56" s="131"/>
      <c r="D56" s="35">
        <v>0</v>
      </c>
      <c r="E56" s="35">
        <v>0</v>
      </c>
      <c r="F56" s="35">
        <v>0.31447846745134089</v>
      </c>
      <c r="G56" s="35">
        <v>0</v>
      </c>
      <c r="H56" s="35">
        <v>2.7156155442482843</v>
      </c>
      <c r="I56" s="35">
        <v>0.41963053311420906</v>
      </c>
      <c r="J56" s="35">
        <v>0</v>
      </c>
      <c r="K56" s="35">
        <v>0</v>
      </c>
      <c r="L56" s="35">
        <v>0</v>
      </c>
      <c r="M56" s="35">
        <v>0.8698101112976635</v>
      </c>
      <c r="N56" s="35">
        <v>5.1680463416368543</v>
      </c>
      <c r="O56" s="35">
        <v>0</v>
      </c>
      <c r="P56" s="35">
        <v>5.9866362432568589</v>
      </c>
      <c r="Q56" s="35">
        <v>2.6835725793182093</v>
      </c>
      <c r="R56" s="35">
        <v>1.5534477382592773</v>
      </c>
      <c r="S56" s="35">
        <v>6.6676198541857961</v>
      </c>
      <c r="T56" s="35">
        <v>0</v>
      </c>
      <c r="U56" s="35">
        <v>1.2671929030723672</v>
      </c>
      <c r="V56" s="35">
        <v>2.2673924164826329</v>
      </c>
    </row>
    <row r="57" spans="2:22" s="99" customFormat="1" x14ac:dyDescent="0.3">
      <c r="B57" s="131" t="s">
        <v>71</v>
      </c>
      <c r="C57" s="131"/>
      <c r="D57" s="35">
        <v>0</v>
      </c>
      <c r="E57" s="35">
        <v>0</v>
      </c>
      <c r="F57" s="35">
        <v>0.20392564657121651</v>
      </c>
      <c r="G57" s="35">
        <v>0</v>
      </c>
      <c r="H57" s="35">
        <v>0.76568930222467158</v>
      </c>
      <c r="I57" s="35">
        <v>0.17256399206065859</v>
      </c>
      <c r="J57" s="35">
        <v>0</v>
      </c>
      <c r="K57" s="35">
        <v>1.1533416738028155</v>
      </c>
      <c r="L57" s="35">
        <v>0.12064842379685146</v>
      </c>
      <c r="M57" s="35">
        <v>0.3843616179196313</v>
      </c>
      <c r="N57" s="35">
        <v>0</v>
      </c>
      <c r="O57" s="35">
        <v>0</v>
      </c>
      <c r="P57" s="35">
        <v>4.1548160513240404</v>
      </c>
      <c r="Q57" s="35">
        <v>0.53222092479256877</v>
      </c>
      <c r="R57" s="35">
        <v>0.63469611852912933</v>
      </c>
      <c r="S57" s="35">
        <v>4.3720267210035342</v>
      </c>
      <c r="T57" s="35">
        <v>0</v>
      </c>
      <c r="U57" s="35">
        <v>0</v>
      </c>
      <c r="V57" s="35">
        <v>0</v>
      </c>
    </row>
    <row r="58" spans="2:22" s="99" customFormat="1" x14ac:dyDescent="0.3">
      <c r="B58" s="131" t="s">
        <v>72</v>
      </c>
      <c r="C58" s="131"/>
      <c r="D58" s="35">
        <v>0</v>
      </c>
      <c r="E58" s="35">
        <v>0</v>
      </c>
      <c r="F58" s="35">
        <v>0.70460243070749518</v>
      </c>
      <c r="G58" s="35">
        <v>1.5390914631452599</v>
      </c>
      <c r="H58" s="35">
        <v>4.1571810224894659</v>
      </c>
      <c r="I58" s="35">
        <v>0.38916024967105389</v>
      </c>
      <c r="J58" s="35">
        <v>0</v>
      </c>
      <c r="K58" s="35">
        <v>0.15878318455650756</v>
      </c>
      <c r="L58" s="35">
        <v>0</v>
      </c>
      <c r="M58" s="35">
        <v>0.9225893219764153</v>
      </c>
      <c r="N58" s="35">
        <v>12.669732712039877</v>
      </c>
      <c r="O58" s="35">
        <v>0</v>
      </c>
      <c r="P58" s="35">
        <v>7.5944108074167715</v>
      </c>
      <c r="Q58" s="35">
        <v>0</v>
      </c>
      <c r="R58" s="35">
        <v>1.9218201906188943</v>
      </c>
      <c r="S58" s="35">
        <v>12.363774642144943</v>
      </c>
      <c r="T58" s="35">
        <v>0</v>
      </c>
      <c r="U58" s="35">
        <v>0</v>
      </c>
      <c r="V58" s="35">
        <v>0</v>
      </c>
    </row>
    <row r="59" spans="2:22" s="99" customFormat="1" x14ac:dyDescent="0.3">
      <c r="B59" s="131" t="s">
        <v>73</v>
      </c>
      <c r="C59" s="131"/>
      <c r="D59" s="35">
        <v>0</v>
      </c>
      <c r="E59" s="35">
        <v>0</v>
      </c>
      <c r="F59" s="35">
        <v>0.56143385797645839</v>
      </c>
      <c r="G59" s="35">
        <v>0</v>
      </c>
      <c r="H59" s="35">
        <v>1.8199023403883161</v>
      </c>
      <c r="I59" s="35">
        <v>0.52989498413542591</v>
      </c>
      <c r="J59" s="35">
        <v>0</v>
      </c>
      <c r="K59" s="35">
        <v>0</v>
      </c>
      <c r="L59" s="35">
        <v>0</v>
      </c>
      <c r="M59" s="35">
        <v>0.69007388531173319</v>
      </c>
      <c r="N59" s="35">
        <v>5.5751062535205807E-2</v>
      </c>
      <c r="O59" s="35">
        <v>0</v>
      </c>
      <c r="P59" s="35">
        <v>6.0708956491818302</v>
      </c>
      <c r="Q59" s="35">
        <v>0.37747211033134564</v>
      </c>
      <c r="R59" s="35">
        <v>1.3362495551542848</v>
      </c>
      <c r="S59" s="35">
        <v>2.7991818015691643</v>
      </c>
      <c r="T59" s="35">
        <v>0</v>
      </c>
      <c r="U59" s="35">
        <v>0</v>
      </c>
      <c r="V59" s="35">
        <v>0.10411636727873122</v>
      </c>
    </row>
    <row r="60" spans="2:22" s="99" customFormat="1" x14ac:dyDescent="0.3">
      <c r="B60" s="131" t="s">
        <v>74</v>
      </c>
      <c r="C60" s="131"/>
      <c r="D60" s="35">
        <v>3.1271607562049795</v>
      </c>
      <c r="E60" s="35">
        <v>0</v>
      </c>
      <c r="F60" s="35">
        <v>0.5706921780040265</v>
      </c>
      <c r="G60" s="35">
        <v>0.16147871453999529</v>
      </c>
      <c r="H60" s="35">
        <v>1.8790013451424055</v>
      </c>
      <c r="I60" s="35">
        <v>0.37123220545656899</v>
      </c>
      <c r="J60" s="35">
        <v>0</v>
      </c>
      <c r="K60" s="35">
        <v>0</v>
      </c>
      <c r="L60" s="35">
        <v>0</v>
      </c>
      <c r="M60" s="35">
        <v>1.1054440318606973</v>
      </c>
      <c r="N60" s="35">
        <v>0.86829330289204321</v>
      </c>
      <c r="O60" s="35">
        <v>0</v>
      </c>
      <c r="P60" s="35">
        <v>7.2963638564557893</v>
      </c>
      <c r="Q60" s="35">
        <v>0</v>
      </c>
      <c r="R60" s="35">
        <v>1.3138602687009406</v>
      </c>
      <c r="S60" s="35">
        <v>3.2531577324039413</v>
      </c>
      <c r="T60" s="35">
        <v>0</v>
      </c>
      <c r="U60" s="35">
        <v>0</v>
      </c>
      <c r="V60" s="35">
        <v>6.4040225303660811E-2</v>
      </c>
    </row>
    <row r="61" spans="2:22" s="99" customFormat="1" x14ac:dyDescent="0.3">
      <c r="B61" s="131" t="s">
        <v>75</v>
      </c>
      <c r="C61" s="131"/>
      <c r="D61" s="35">
        <v>3.0798335023160135</v>
      </c>
      <c r="E61" s="35">
        <v>0</v>
      </c>
      <c r="F61" s="35">
        <v>0.33838826568303404</v>
      </c>
      <c r="G61" s="35">
        <v>0.3006369759411342</v>
      </c>
      <c r="H61" s="35">
        <v>1.036856404935709</v>
      </c>
      <c r="I61" s="35">
        <v>0.19372442570495274</v>
      </c>
      <c r="J61" s="35">
        <v>0</v>
      </c>
      <c r="K61" s="35">
        <v>3.0501591908490076</v>
      </c>
      <c r="L61" s="35">
        <v>0</v>
      </c>
      <c r="M61" s="35">
        <v>0.67769342257518128</v>
      </c>
      <c r="N61" s="35">
        <v>2.7780618191628981</v>
      </c>
      <c r="O61" s="35">
        <v>0</v>
      </c>
      <c r="P61" s="35">
        <v>3.5989852995193434</v>
      </c>
      <c r="Q61" s="35">
        <v>0</v>
      </c>
      <c r="R61" s="35">
        <v>1.7699078461665927</v>
      </c>
      <c r="S61" s="35">
        <v>6.5970131564051311</v>
      </c>
      <c r="T61" s="35">
        <v>0</v>
      </c>
      <c r="U61" s="35">
        <v>0.88065266642147444</v>
      </c>
      <c r="V61" s="35">
        <v>3.1816540100946162</v>
      </c>
    </row>
    <row r="62" spans="2:22" s="99" customFormat="1" x14ac:dyDescent="0.3">
      <c r="B62" s="131" t="s">
        <v>76</v>
      </c>
      <c r="C62" s="131"/>
      <c r="D62" s="35">
        <v>0</v>
      </c>
      <c r="E62" s="35">
        <v>0</v>
      </c>
      <c r="F62" s="35">
        <v>0.21444994409812912</v>
      </c>
      <c r="G62" s="35">
        <v>0</v>
      </c>
      <c r="H62" s="35">
        <v>2.1184655918042892</v>
      </c>
      <c r="I62" s="35">
        <v>0.16384635539321329</v>
      </c>
      <c r="J62" s="35">
        <v>0</v>
      </c>
      <c r="K62" s="35">
        <v>0</v>
      </c>
      <c r="L62" s="35">
        <v>0</v>
      </c>
      <c r="M62" s="35">
        <v>0.11131618212460712</v>
      </c>
      <c r="N62" s="35">
        <v>0.25651965239113661</v>
      </c>
      <c r="O62" s="35">
        <v>0</v>
      </c>
      <c r="P62" s="35">
        <v>2.2513456522364312</v>
      </c>
      <c r="Q62" s="35">
        <v>0.33451320905870441</v>
      </c>
      <c r="R62" s="35">
        <v>0.56146419486303567</v>
      </c>
      <c r="S62" s="35">
        <v>8.1809072374632876</v>
      </c>
      <c r="T62" s="35">
        <v>0</v>
      </c>
      <c r="U62" s="35">
        <v>0</v>
      </c>
      <c r="V62" s="35">
        <v>0</v>
      </c>
    </row>
    <row r="63" spans="2:22" s="35" customFormat="1" x14ac:dyDescent="0.3">
      <c r="B63" s="131" t="s">
        <v>77</v>
      </c>
      <c r="C63" s="131"/>
      <c r="D63" s="37">
        <v>0</v>
      </c>
      <c r="E63" s="37">
        <v>0</v>
      </c>
      <c r="F63" s="37">
        <v>1.0507377409215997</v>
      </c>
      <c r="G63" s="37">
        <v>0</v>
      </c>
      <c r="H63" s="37">
        <v>1.8807497601271381</v>
      </c>
      <c r="I63" s="37">
        <v>0.34982471505825008</v>
      </c>
      <c r="J63" s="37">
        <v>0</v>
      </c>
      <c r="K63" s="37">
        <v>0</v>
      </c>
      <c r="L63" s="37">
        <v>0</v>
      </c>
      <c r="M63" s="37">
        <v>1.1674571380889125</v>
      </c>
      <c r="N63" s="37">
        <v>7.7229829867011227E-2</v>
      </c>
      <c r="O63" s="37">
        <v>0</v>
      </c>
      <c r="P63" s="37">
        <v>10.111607149710906</v>
      </c>
      <c r="Q63" s="37">
        <v>0.77149625468008465</v>
      </c>
      <c r="R63" s="37">
        <v>1.2296943005847969</v>
      </c>
      <c r="S63" s="37">
        <v>3.9351021882216655</v>
      </c>
      <c r="T63" s="37">
        <v>0</v>
      </c>
      <c r="U63" s="37">
        <v>0.19808054472951356</v>
      </c>
      <c r="V63" s="37">
        <v>0</v>
      </c>
    </row>
    <row r="64" spans="2:22" s="35" customFormat="1" x14ac:dyDescent="0.3">
      <c r="B64" s="131" t="s">
        <v>78</v>
      </c>
      <c r="C64" s="131"/>
      <c r="D64" s="37">
        <v>0</v>
      </c>
      <c r="E64" s="37">
        <v>0</v>
      </c>
      <c r="F64" s="37">
        <v>4.0028974173297482E-2</v>
      </c>
      <c r="G64" s="37">
        <v>0</v>
      </c>
      <c r="H64" s="37">
        <v>0.11659969733622076</v>
      </c>
      <c r="I64" s="37">
        <v>0</v>
      </c>
      <c r="J64" s="37">
        <v>0</v>
      </c>
      <c r="K64" s="37">
        <v>0</v>
      </c>
      <c r="L64" s="37">
        <v>0</v>
      </c>
      <c r="M64" s="37">
        <v>0.10017855711756783</v>
      </c>
      <c r="N64" s="37">
        <v>0.32570721868279229</v>
      </c>
      <c r="O64" s="37">
        <v>0</v>
      </c>
      <c r="P64" s="37">
        <v>1.1868478624167729</v>
      </c>
      <c r="Q64" s="37">
        <v>0.24851659912347523</v>
      </c>
      <c r="R64" s="37">
        <v>0.41862077478721704</v>
      </c>
      <c r="S64" s="37">
        <v>1.0765060150163051</v>
      </c>
      <c r="T64" s="37">
        <v>0</v>
      </c>
      <c r="U64" s="37">
        <v>0</v>
      </c>
      <c r="V64" s="37">
        <v>0</v>
      </c>
    </row>
    <row r="65" spans="2:22" s="35" customFormat="1" x14ac:dyDescent="0.3">
      <c r="B65" s="131" t="s">
        <v>79</v>
      </c>
      <c r="C65" s="131"/>
      <c r="D65" s="37">
        <v>0</v>
      </c>
      <c r="E65" s="37">
        <v>0</v>
      </c>
      <c r="F65" s="37">
        <v>0.3151428606742952</v>
      </c>
      <c r="G65" s="37">
        <v>0</v>
      </c>
      <c r="H65" s="37">
        <v>1.0203256487962284</v>
      </c>
      <c r="I65" s="37">
        <v>0.35925545641543166</v>
      </c>
      <c r="J65" s="37">
        <v>0</v>
      </c>
      <c r="K65" s="37">
        <v>0</v>
      </c>
      <c r="L65" s="37">
        <v>0</v>
      </c>
      <c r="M65" s="37">
        <v>1.0098956052091421</v>
      </c>
      <c r="N65" s="37">
        <v>0.40295225010910668</v>
      </c>
      <c r="O65" s="37">
        <v>0</v>
      </c>
      <c r="P65" s="37">
        <v>3.0880115217728887</v>
      </c>
      <c r="Q65" s="37">
        <v>0.44351158631567217</v>
      </c>
      <c r="R65" s="37">
        <v>1.1667920483370726</v>
      </c>
      <c r="S65" s="37">
        <v>1.2726099516413649</v>
      </c>
      <c r="T65" s="37">
        <v>0</v>
      </c>
      <c r="U65" s="37">
        <v>0</v>
      </c>
      <c r="V65" s="37">
        <v>0</v>
      </c>
    </row>
    <row r="66" spans="2:22" s="35" customFormat="1" x14ac:dyDescent="0.3">
      <c r="B66" s="131" t="s">
        <v>80</v>
      </c>
      <c r="C66" s="131"/>
      <c r="D66" s="37">
        <v>0</v>
      </c>
      <c r="E66" s="37">
        <v>0</v>
      </c>
      <c r="F66" s="37">
        <v>5.6743412807256088E-2</v>
      </c>
      <c r="G66" s="37">
        <v>0</v>
      </c>
      <c r="H66" s="37">
        <v>0.10879897713489664</v>
      </c>
      <c r="I66" s="37">
        <v>5.3625467483447195E-2</v>
      </c>
      <c r="J66" s="37">
        <v>0</v>
      </c>
      <c r="K66" s="37">
        <v>2.2940977514041996</v>
      </c>
      <c r="L66" s="37">
        <v>0.25621535187126904</v>
      </c>
      <c r="M66" s="37">
        <v>7.7640019662370829E-2</v>
      </c>
      <c r="N66" s="37">
        <v>0</v>
      </c>
      <c r="O66" s="37">
        <v>0</v>
      </c>
      <c r="P66" s="37">
        <v>0.1818732524506875</v>
      </c>
      <c r="Q66" s="37">
        <v>5.8249413430009639E-2</v>
      </c>
      <c r="R66" s="37">
        <v>0.14704068357877476</v>
      </c>
      <c r="S66" s="37">
        <v>0.11776384912423365</v>
      </c>
      <c r="T66" s="37">
        <v>0</v>
      </c>
      <c r="U66" s="37">
        <v>0</v>
      </c>
      <c r="V66" s="37">
        <v>0</v>
      </c>
    </row>
    <row r="67" spans="2:22" s="35" customFormat="1" x14ac:dyDescent="0.3">
      <c r="B67" s="131" t="s">
        <v>81</v>
      </c>
      <c r="C67" s="131"/>
      <c r="D67" s="37">
        <v>0</v>
      </c>
      <c r="E67" s="37">
        <v>0.47079069475147328</v>
      </c>
      <c r="F67" s="37">
        <v>0.11640715575028637</v>
      </c>
      <c r="G67" s="37">
        <v>0</v>
      </c>
      <c r="H67" s="37">
        <v>1.0508194309029064</v>
      </c>
      <c r="I67" s="37">
        <v>0</v>
      </c>
      <c r="J67" s="37">
        <v>0</v>
      </c>
      <c r="K67" s="37">
        <v>0</v>
      </c>
      <c r="L67" s="37">
        <v>0</v>
      </c>
      <c r="M67" s="37">
        <v>1.1385148063240211</v>
      </c>
      <c r="N67" s="37">
        <v>17.443849744830793</v>
      </c>
      <c r="O67" s="37">
        <v>0</v>
      </c>
      <c r="P67" s="37">
        <v>3.4719292548622729</v>
      </c>
      <c r="Q67" s="37">
        <v>0</v>
      </c>
      <c r="R67" s="37">
        <v>1.4884129103578938</v>
      </c>
      <c r="S67" s="37">
        <v>0</v>
      </c>
      <c r="T67" s="37">
        <v>0</v>
      </c>
      <c r="U67" s="37">
        <v>0</v>
      </c>
      <c r="V67" s="37">
        <v>2.4689173548842707</v>
      </c>
    </row>
    <row r="68" spans="2:22" s="35" customFormat="1" x14ac:dyDescent="0.3">
      <c r="B68" s="131" t="s">
        <v>82</v>
      </c>
      <c r="C68" s="131"/>
      <c r="D68" s="37">
        <v>0</v>
      </c>
      <c r="E68" s="37">
        <v>1.5619260164898081</v>
      </c>
      <c r="F68" s="37">
        <v>2.5203086871869869</v>
      </c>
      <c r="G68" s="37">
        <v>0</v>
      </c>
      <c r="H68" s="37">
        <v>1.7392821295510883</v>
      </c>
      <c r="I68" s="37">
        <v>1.3966255001422292</v>
      </c>
      <c r="J68" s="37">
        <v>0</v>
      </c>
      <c r="K68" s="37">
        <v>0</v>
      </c>
      <c r="L68" s="37">
        <v>0</v>
      </c>
      <c r="M68" s="37">
        <v>0.51524136848292501</v>
      </c>
      <c r="N68" s="37">
        <v>1.5614634689361422</v>
      </c>
      <c r="O68" s="37">
        <v>0</v>
      </c>
      <c r="P68" s="37">
        <v>5.6687465326429747</v>
      </c>
      <c r="Q68" s="37">
        <v>0.44569529886749998</v>
      </c>
      <c r="R68" s="37">
        <v>2.8989064232562627</v>
      </c>
      <c r="S68" s="37">
        <v>3.7790596171451725</v>
      </c>
      <c r="T68" s="37">
        <v>0</v>
      </c>
      <c r="U68" s="37">
        <v>0</v>
      </c>
      <c r="V68" s="37">
        <v>0.51185167783002483</v>
      </c>
    </row>
    <row r="69" spans="2:22" s="35" customFormat="1" x14ac:dyDescent="0.3">
      <c r="B69" s="131" t="s">
        <v>83</v>
      </c>
      <c r="C69" s="131"/>
      <c r="D69" s="37">
        <v>0</v>
      </c>
      <c r="E69" s="37">
        <v>0</v>
      </c>
      <c r="F69" s="37">
        <v>9.8595778526227723E-2</v>
      </c>
      <c r="G69" s="37">
        <v>0</v>
      </c>
      <c r="H69" s="37">
        <v>7.2129978214331147E-2</v>
      </c>
      <c r="I69" s="37">
        <v>2.6513949654000408E-2</v>
      </c>
      <c r="J69" s="37">
        <v>0</v>
      </c>
      <c r="K69" s="37">
        <v>0</v>
      </c>
      <c r="L69" s="37">
        <v>0</v>
      </c>
      <c r="M69" s="37">
        <v>0.13819594424053877</v>
      </c>
      <c r="N69" s="37">
        <v>0.10871500608390554</v>
      </c>
      <c r="O69" s="37">
        <v>0</v>
      </c>
      <c r="P69" s="37">
        <v>0.76461190535985124</v>
      </c>
      <c r="Q69" s="37">
        <v>0.18108170171751442</v>
      </c>
      <c r="R69" s="37">
        <v>0.54575854995483963</v>
      </c>
      <c r="S69" s="37">
        <v>0.3707280127118035</v>
      </c>
      <c r="T69" s="37">
        <v>0</v>
      </c>
      <c r="U69" s="37">
        <v>0</v>
      </c>
      <c r="V69" s="37">
        <v>0.1557018198620537</v>
      </c>
    </row>
    <row r="70" spans="2:22" s="99" customFormat="1" x14ac:dyDescent="0.3">
      <c r="B70" s="131" t="s">
        <v>49</v>
      </c>
      <c r="C70" s="131"/>
      <c r="D70" s="35">
        <v>0</v>
      </c>
      <c r="E70" s="35">
        <v>0</v>
      </c>
      <c r="F70" s="35">
        <v>0.24587384823779301</v>
      </c>
      <c r="G70" s="35">
        <v>0.36283960138710775</v>
      </c>
      <c r="H70" s="35">
        <v>0.3620211144493431</v>
      </c>
      <c r="I70" s="35">
        <v>0.20718549762598298</v>
      </c>
      <c r="J70" s="35">
        <v>0</v>
      </c>
      <c r="K70" s="35">
        <v>6.9979661464569937E-2</v>
      </c>
      <c r="L70" s="35">
        <v>0</v>
      </c>
      <c r="M70" s="35">
        <v>0.74838816139099951</v>
      </c>
      <c r="N70" s="35">
        <v>1.7619955680972095</v>
      </c>
      <c r="O70" s="35">
        <v>0</v>
      </c>
      <c r="P70" s="35">
        <v>1.4003391710308317</v>
      </c>
      <c r="Q70" s="35">
        <v>0</v>
      </c>
      <c r="R70" s="35">
        <v>1.4544963740887713</v>
      </c>
      <c r="S70" s="35">
        <v>0.47926807418393191</v>
      </c>
      <c r="T70" s="35">
        <v>0</v>
      </c>
      <c r="U70" s="35">
        <v>0</v>
      </c>
      <c r="V70" s="35">
        <v>0</v>
      </c>
    </row>
    <row r="71" spans="2:22" s="35" customFormat="1" x14ac:dyDescent="0.3">
      <c r="B71" s="131" t="s">
        <v>84</v>
      </c>
      <c r="C71" s="131"/>
      <c r="D71" s="35">
        <v>0</v>
      </c>
      <c r="E71" s="35">
        <v>0.49481737329962305</v>
      </c>
      <c r="F71" s="35">
        <v>0</v>
      </c>
      <c r="G71" s="35">
        <v>0</v>
      </c>
      <c r="H71" s="35">
        <v>0.12577985135761363</v>
      </c>
      <c r="I71" s="35">
        <v>2.6832949877650003E-2</v>
      </c>
      <c r="J71" s="35">
        <v>0</v>
      </c>
      <c r="K71" s="35">
        <v>0</v>
      </c>
      <c r="L71" s="35">
        <v>0</v>
      </c>
      <c r="M71" s="35">
        <v>0.25263232422761828</v>
      </c>
      <c r="N71" s="35">
        <v>1.4836996942748273</v>
      </c>
      <c r="O71" s="35">
        <v>0</v>
      </c>
      <c r="P71" s="35">
        <v>0.34467331408089097</v>
      </c>
      <c r="Q71" s="35">
        <v>5.7163621804854542E-2</v>
      </c>
      <c r="R71" s="35">
        <v>0.7493077923663819</v>
      </c>
      <c r="S71" s="35">
        <v>6.5770060638340913E-2</v>
      </c>
      <c r="T71" s="35">
        <v>0</v>
      </c>
      <c r="U71" s="35">
        <v>0</v>
      </c>
      <c r="V71" s="35">
        <v>0</v>
      </c>
    </row>
    <row r="72" spans="2:22" s="35" customFormat="1" x14ac:dyDescent="0.3">
      <c r="B72" s="131" t="s">
        <v>85</v>
      </c>
      <c r="C72" s="131"/>
      <c r="D72" s="37">
        <v>3.3859156701206343</v>
      </c>
      <c r="E72" s="37">
        <v>0</v>
      </c>
      <c r="F72" s="37">
        <v>0.18879924343346408</v>
      </c>
      <c r="G72" s="37">
        <v>0.54143491181014658</v>
      </c>
      <c r="H72" s="37">
        <v>0.21919387840025045</v>
      </c>
      <c r="I72" s="37">
        <v>0.10434078175350661</v>
      </c>
      <c r="J72" s="37">
        <v>0</v>
      </c>
      <c r="K72" s="37">
        <v>0.71481615393341202</v>
      </c>
      <c r="L72" s="37">
        <v>0</v>
      </c>
      <c r="M72" s="37">
        <v>0.36256100620425047</v>
      </c>
      <c r="N72" s="37">
        <v>2.09050025817475</v>
      </c>
      <c r="O72" s="37">
        <v>0</v>
      </c>
      <c r="P72" s="37">
        <v>0.86142457701315678</v>
      </c>
      <c r="Q72" s="37">
        <v>0</v>
      </c>
      <c r="R72" s="37">
        <v>1.0012675149868477</v>
      </c>
      <c r="S72" s="37">
        <v>0.30211850749742442</v>
      </c>
      <c r="T72" s="37">
        <v>0</v>
      </c>
      <c r="U72" s="37">
        <v>0</v>
      </c>
      <c r="V72" s="37">
        <v>0</v>
      </c>
    </row>
    <row r="73" spans="2:22" s="35" customFormat="1" x14ac:dyDescent="0.3">
      <c r="B73" s="131" t="s">
        <v>86</v>
      </c>
      <c r="C73" s="131"/>
      <c r="D73" s="37">
        <v>0</v>
      </c>
      <c r="E73" s="37">
        <v>0.66852705055569628</v>
      </c>
      <c r="F73" s="37">
        <v>0.32957274113064017</v>
      </c>
      <c r="G73" s="37">
        <v>0</v>
      </c>
      <c r="H73" s="37">
        <v>0.27292546498572429</v>
      </c>
      <c r="I73" s="37">
        <v>0.12853057221920211</v>
      </c>
      <c r="J73" s="37">
        <v>0</v>
      </c>
      <c r="K73" s="37">
        <v>5.9982523712572247E-2</v>
      </c>
      <c r="L73" s="37">
        <v>0.77047969894626911</v>
      </c>
      <c r="M73" s="37">
        <v>8.5351292358547909E-2</v>
      </c>
      <c r="N73" s="37">
        <v>0</v>
      </c>
      <c r="O73" s="37">
        <v>0</v>
      </c>
      <c r="P73" s="37">
        <v>0.17722531357832372</v>
      </c>
      <c r="Q73" s="37">
        <v>0.52992163783233048</v>
      </c>
      <c r="R73" s="37">
        <v>1.1773965368110222</v>
      </c>
      <c r="S73" s="37">
        <v>0.77744100578953845</v>
      </c>
      <c r="T73" s="37">
        <v>0</v>
      </c>
      <c r="U73" s="37">
        <v>0</v>
      </c>
      <c r="V73" s="37">
        <v>0</v>
      </c>
    </row>
    <row r="74" spans="2:22" s="35" customFormat="1" x14ac:dyDescent="0.3">
      <c r="B74" s="131" t="s">
        <v>87</v>
      </c>
      <c r="C74" s="131"/>
      <c r="D74" s="37">
        <v>0</v>
      </c>
      <c r="E74" s="37">
        <v>0</v>
      </c>
      <c r="F74" s="37">
        <v>0.30485205328555476</v>
      </c>
      <c r="G74" s="37">
        <v>0</v>
      </c>
      <c r="H74" s="37">
        <v>0.62257245164097963</v>
      </c>
      <c r="I74" s="37">
        <v>0.27588878900377417</v>
      </c>
      <c r="J74" s="37">
        <v>0</v>
      </c>
      <c r="K74" s="37">
        <v>0</v>
      </c>
      <c r="L74" s="37">
        <v>0</v>
      </c>
      <c r="M74" s="37">
        <v>0.48552029610022529</v>
      </c>
      <c r="N74" s="37">
        <v>5.8828526322960713E-2</v>
      </c>
      <c r="O74" s="37">
        <v>0</v>
      </c>
      <c r="P74" s="37">
        <v>1.2009282729458843</v>
      </c>
      <c r="Q74" s="37">
        <v>0.18240555684382256</v>
      </c>
      <c r="R74" s="37">
        <v>0.41240710618473575</v>
      </c>
      <c r="S74" s="37">
        <v>0.37156596118854646</v>
      </c>
      <c r="T74" s="37">
        <v>0</v>
      </c>
      <c r="U74" s="37">
        <v>0</v>
      </c>
      <c r="V74" s="37">
        <v>0</v>
      </c>
    </row>
    <row r="75" spans="2:22" s="35" customFormat="1" x14ac:dyDescent="0.3">
      <c r="B75" s="131" t="s">
        <v>88</v>
      </c>
      <c r="C75" s="131"/>
      <c r="D75" s="37">
        <v>0</v>
      </c>
      <c r="E75" s="37">
        <v>0</v>
      </c>
      <c r="F75" s="37">
        <v>0</v>
      </c>
      <c r="G75" s="37">
        <v>0</v>
      </c>
      <c r="H75" s="37">
        <v>0.736373193326604</v>
      </c>
      <c r="I75" s="37">
        <v>0.20580110762249035</v>
      </c>
      <c r="J75" s="37">
        <v>0</v>
      </c>
      <c r="K75" s="37">
        <v>0</v>
      </c>
      <c r="L75" s="37">
        <v>0</v>
      </c>
      <c r="M75" s="37">
        <v>0.75870384900886312</v>
      </c>
      <c r="N75" s="37">
        <v>0</v>
      </c>
      <c r="O75" s="37">
        <v>0</v>
      </c>
      <c r="P75" s="37">
        <v>0.69730249137985068</v>
      </c>
      <c r="Q75" s="37">
        <v>0.7974061570670905</v>
      </c>
      <c r="R75" s="37">
        <v>0.78860314663201825</v>
      </c>
      <c r="S75" s="37">
        <v>0.36065790050231217</v>
      </c>
      <c r="T75" s="37">
        <v>0</v>
      </c>
      <c r="U75" s="37">
        <v>0</v>
      </c>
      <c r="V75" s="37">
        <v>0</v>
      </c>
    </row>
    <row r="76" spans="2:22" s="35" customFormat="1" x14ac:dyDescent="0.3">
      <c r="B76" s="131" t="s">
        <v>89</v>
      </c>
      <c r="C76" s="131"/>
      <c r="D76" s="37">
        <v>0</v>
      </c>
      <c r="E76" s="37">
        <v>0</v>
      </c>
      <c r="F76" s="37">
        <v>5.2357261660832558E-2</v>
      </c>
      <c r="G76" s="37">
        <v>0</v>
      </c>
      <c r="H76" s="37">
        <v>6.9784843485804493E-2</v>
      </c>
      <c r="I76" s="37">
        <v>0</v>
      </c>
      <c r="J76" s="37">
        <v>0</v>
      </c>
      <c r="K76" s="37">
        <v>0</v>
      </c>
      <c r="L76" s="37">
        <v>0</v>
      </c>
      <c r="M76" s="37">
        <v>0.12360974844543499</v>
      </c>
      <c r="N76" s="37">
        <v>0.26057510932931249</v>
      </c>
      <c r="O76" s="37">
        <v>0</v>
      </c>
      <c r="P76" s="37">
        <v>0.17825553583570158</v>
      </c>
      <c r="Q76" s="37">
        <v>6.7703356121552857E-2</v>
      </c>
      <c r="R76" s="37">
        <v>0.23625606857863424</v>
      </c>
      <c r="S76" s="37">
        <v>5.8298226828423769E-2</v>
      </c>
      <c r="T76" s="37">
        <v>0</v>
      </c>
      <c r="U76" s="37">
        <v>0</v>
      </c>
      <c r="V76" s="37">
        <v>0</v>
      </c>
    </row>
    <row r="77" spans="2:22" s="35" customFormat="1" x14ac:dyDescent="0.3">
      <c r="B77" s="131" t="s">
        <v>90</v>
      </c>
      <c r="C77" s="131"/>
      <c r="D77" s="37">
        <v>0</v>
      </c>
      <c r="E77" s="37">
        <v>0</v>
      </c>
      <c r="F77" s="37">
        <v>6.7578838081849127E-2</v>
      </c>
      <c r="G77" s="37">
        <v>0</v>
      </c>
      <c r="H77" s="37">
        <v>0.11846637550223325</v>
      </c>
      <c r="I77" s="37">
        <v>0.10471297731466986</v>
      </c>
      <c r="J77" s="37">
        <v>0</v>
      </c>
      <c r="K77" s="37">
        <v>0</v>
      </c>
      <c r="L77" s="37">
        <v>0</v>
      </c>
      <c r="M77" s="37">
        <v>0.8588407244507148</v>
      </c>
      <c r="N77" s="37">
        <v>0.1090508485814827</v>
      </c>
      <c r="O77" s="37">
        <v>0</v>
      </c>
      <c r="P77" s="37">
        <v>0.39249507214804746</v>
      </c>
      <c r="Q77" s="37">
        <v>0.33609124571368398</v>
      </c>
      <c r="R77" s="37">
        <v>1.6098913029542992</v>
      </c>
      <c r="S77" s="37">
        <v>0.19932942015634519</v>
      </c>
      <c r="T77" s="37">
        <v>0</v>
      </c>
      <c r="U77" s="37">
        <v>0</v>
      </c>
      <c r="V77" s="37">
        <v>0</v>
      </c>
    </row>
    <row r="78" spans="2:22" s="35" customFormat="1" x14ac:dyDescent="0.3">
      <c r="B78" s="131" t="s">
        <v>91</v>
      </c>
      <c r="C78" s="131"/>
      <c r="D78" s="37">
        <v>0</v>
      </c>
      <c r="E78" s="37">
        <v>0</v>
      </c>
      <c r="F78" s="37">
        <v>0.15221138563678166</v>
      </c>
      <c r="G78" s="37">
        <v>0.24966862242793947</v>
      </c>
      <c r="H78" s="37">
        <v>0.23898914508948488</v>
      </c>
      <c r="I78" s="37">
        <v>2.462331182642722E-2</v>
      </c>
      <c r="J78" s="37">
        <v>0</v>
      </c>
      <c r="K78" s="37">
        <v>0.21909891692968336</v>
      </c>
      <c r="L78" s="37">
        <v>0</v>
      </c>
      <c r="M78" s="37">
        <v>0.37541639848062447</v>
      </c>
      <c r="N78" s="37">
        <v>3.213811304644524</v>
      </c>
      <c r="O78" s="37">
        <v>0</v>
      </c>
      <c r="P78" s="37">
        <v>0.59405083713344053</v>
      </c>
      <c r="Q78" s="37">
        <v>0</v>
      </c>
      <c r="R78" s="37">
        <v>0.38128536647501887</v>
      </c>
      <c r="S78" s="37">
        <v>0</v>
      </c>
      <c r="T78" s="37">
        <v>0</v>
      </c>
      <c r="U78" s="37">
        <v>0</v>
      </c>
      <c r="V78" s="37">
        <v>1.8696182449936833E-2</v>
      </c>
    </row>
    <row r="79" spans="2:22" s="35" customFormat="1" x14ac:dyDescent="0.3">
      <c r="B79" s="131" t="s">
        <v>92</v>
      </c>
      <c r="C79" s="131"/>
      <c r="D79" s="37">
        <v>3.5503280345215154</v>
      </c>
      <c r="E79" s="37">
        <v>0</v>
      </c>
      <c r="F79" s="37">
        <v>0.17116578687184308</v>
      </c>
      <c r="G79" s="37">
        <v>0.36908980146997639</v>
      </c>
      <c r="H79" s="37">
        <v>0.22676974525180055</v>
      </c>
      <c r="I79" s="37">
        <v>4.8704190636739128E-2</v>
      </c>
      <c r="J79" s="37">
        <v>0</v>
      </c>
      <c r="K79" s="37">
        <v>0.47685353902491961</v>
      </c>
      <c r="L79" s="37">
        <v>0</v>
      </c>
      <c r="M79" s="37">
        <v>0.39443817689884342</v>
      </c>
      <c r="N79" s="37">
        <v>4.4271997764570248</v>
      </c>
      <c r="O79" s="37">
        <v>0</v>
      </c>
      <c r="P79" s="37">
        <v>0.62560694336771261</v>
      </c>
      <c r="Q79" s="37">
        <v>0</v>
      </c>
      <c r="R79" s="37">
        <v>0.4747910463190359</v>
      </c>
      <c r="S79" s="37">
        <v>7.4545783660028342E-2</v>
      </c>
      <c r="T79" s="37">
        <v>0</v>
      </c>
      <c r="U79" s="37">
        <v>0</v>
      </c>
      <c r="V79" s="37">
        <v>0</v>
      </c>
    </row>
    <row r="80" spans="2:22" s="35" customFormat="1" x14ac:dyDescent="0.3">
      <c r="B80" s="131" t="s">
        <v>93</v>
      </c>
      <c r="C80" s="131"/>
      <c r="D80" s="37">
        <v>1.0625093635079734</v>
      </c>
      <c r="E80" s="37">
        <v>0</v>
      </c>
      <c r="F80" s="37">
        <v>0</v>
      </c>
      <c r="G80" s="37">
        <v>0</v>
      </c>
      <c r="H80" s="37">
        <v>0.80245101890585258</v>
      </c>
      <c r="I80" s="37">
        <v>0.69769173007588148</v>
      </c>
      <c r="J80" s="37">
        <v>0</v>
      </c>
      <c r="K80" s="37">
        <v>0</v>
      </c>
      <c r="L80" s="37">
        <v>0</v>
      </c>
      <c r="M80" s="37">
        <v>1.4865649308307467</v>
      </c>
      <c r="N80" s="37">
        <v>0</v>
      </c>
      <c r="O80" s="37">
        <v>0</v>
      </c>
      <c r="P80" s="37">
        <v>2.8199857411983666</v>
      </c>
      <c r="Q80" s="37">
        <v>0.40852771559457124</v>
      </c>
      <c r="R80" s="37">
        <v>1.2151993630658913</v>
      </c>
      <c r="S80" s="37">
        <v>0.96003912987681583</v>
      </c>
      <c r="T80" s="37">
        <v>0</v>
      </c>
      <c r="U80" s="37">
        <v>0</v>
      </c>
      <c r="V80" s="37">
        <v>0</v>
      </c>
    </row>
    <row r="81" spans="2:22" s="35" customFormat="1" x14ac:dyDescent="0.3">
      <c r="B81" s="131" t="s">
        <v>94</v>
      </c>
      <c r="C81" s="131"/>
      <c r="D81" s="37">
        <v>0</v>
      </c>
      <c r="E81" s="37">
        <v>0</v>
      </c>
      <c r="F81" s="37">
        <v>0.23794090619017405</v>
      </c>
      <c r="G81" s="37">
        <v>0</v>
      </c>
      <c r="H81" s="37">
        <v>0.24969800068216191</v>
      </c>
      <c r="I81" s="37">
        <v>0.24548080795307531</v>
      </c>
      <c r="J81" s="37">
        <v>0</v>
      </c>
      <c r="K81" s="37">
        <v>0</v>
      </c>
      <c r="L81" s="37">
        <v>0</v>
      </c>
      <c r="M81" s="37">
        <v>1.021973691027009</v>
      </c>
      <c r="N81" s="37">
        <v>0.10619711188632368</v>
      </c>
      <c r="O81" s="37">
        <v>0</v>
      </c>
      <c r="P81" s="37">
        <v>1.4840587400130509</v>
      </c>
      <c r="Q81" s="37">
        <v>0.45838745170074402</v>
      </c>
      <c r="R81" s="37">
        <v>2.6447774078022661</v>
      </c>
      <c r="S81" s="37">
        <v>0.48650515280947315</v>
      </c>
      <c r="T81" s="37">
        <v>0</v>
      </c>
      <c r="U81" s="37">
        <v>0</v>
      </c>
      <c r="V81" s="37">
        <v>0</v>
      </c>
    </row>
    <row r="82" spans="2:22" s="35" customFormat="1" x14ac:dyDescent="0.3">
      <c r="B82" s="131" t="s">
        <v>95</v>
      </c>
      <c r="C82" s="131"/>
      <c r="D82" s="37">
        <v>0</v>
      </c>
      <c r="E82" s="37">
        <v>0</v>
      </c>
      <c r="F82" s="37">
        <v>0</v>
      </c>
      <c r="G82" s="37">
        <v>0</v>
      </c>
      <c r="H82" s="37">
        <v>0.31248309020038634</v>
      </c>
      <c r="I82" s="37">
        <v>0.19728552298294999</v>
      </c>
      <c r="J82" s="37">
        <v>0</v>
      </c>
      <c r="K82" s="37">
        <v>0</v>
      </c>
      <c r="L82" s="37">
        <v>0</v>
      </c>
      <c r="M82" s="37">
        <v>0.53374054985195041</v>
      </c>
      <c r="N82" s="37">
        <v>0.33515933635079087</v>
      </c>
      <c r="O82" s="37">
        <v>0</v>
      </c>
      <c r="P82" s="37">
        <v>0.7161170259959273</v>
      </c>
      <c r="Q82" s="37">
        <v>0.14962867826017728</v>
      </c>
      <c r="R82" s="37">
        <v>1.4315689333785593</v>
      </c>
      <c r="S82" s="37">
        <v>0.28032898753678182</v>
      </c>
      <c r="T82" s="37">
        <v>0</v>
      </c>
      <c r="U82" s="37">
        <v>0</v>
      </c>
      <c r="V82" s="37">
        <v>0</v>
      </c>
    </row>
    <row r="83" spans="2:22" s="35" customFormat="1" x14ac:dyDescent="0.3">
      <c r="B83" s="131" t="s">
        <v>96</v>
      </c>
      <c r="C83" s="131"/>
      <c r="D83" s="37">
        <v>0</v>
      </c>
      <c r="E83" s="37">
        <v>0</v>
      </c>
      <c r="F83" s="37">
        <v>0</v>
      </c>
      <c r="G83" s="37">
        <v>0</v>
      </c>
      <c r="H83" s="37">
        <v>0.33801415246062272</v>
      </c>
      <c r="I83" s="37">
        <v>0.11751661018468182</v>
      </c>
      <c r="J83" s="37">
        <v>0</v>
      </c>
      <c r="K83" s="37">
        <v>0</v>
      </c>
      <c r="L83" s="37">
        <v>0</v>
      </c>
      <c r="M83" s="37">
        <v>0.40641318937073967</v>
      </c>
      <c r="N83" s="37">
        <v>0.33589804766390002</v>
      </c>
      <c r="O83" s="37">
        <v>0</v>
      </c>
      <c r="P83" s="37">
        <v>0.46965269852666369</v>
      </c>
      <c r="Q83" s="37">
        <v>8.5416392427763652E-2</v>
      </c>
      <c r="R83" s="37">
        <v>0.84567677923631357</v>
      </c>
      <c r="S83" s="37">
        <v>4.0102074872749999E-2</v>
      </c>
      <c r="T83" s="37">
        <v>0</v>
      </c>
      <c r="U83" s="37">
        <v>0</v>
      </c>
      <c r="V83" s="37">
        <v>0</v>
      </c>
    </row>
    <row r="84" spans="2:22" s="35" customFormat="1" x14ac:dyDescent="0.3">
      <c r="B84" s="131" t="s">
        <v>97</v>
      </c>
      <c r="C84" s="131"/>
      <c r="D84" s="37">
        <v>0</v>
      </c>
      <c r="E84" s="37">
        <v>0</v>
      </c>
      <c r="F84" s="37">
        <v>0.2296215922426213</v>
      </c>
      <c r="G84" s="37">
        <v>0</v>
      </c>
      <c r="H84" s="37">
        <v>0.42482047489412333</v>
      </c>
      <c r="I84" s="37">
        <v>0.21615656945313103</v>
      </c>
      <c r="J84" s="37">
        <v>0</v>
      </c>
      <c r="K84" s="37">
        <v>1.7962073412504729</v>
      </c>
      <c r="L84" s="37">
        <v>0.19006455817602033</v>
      </c>
      <c r="M84" s="37">
        <v>0.45332066796291826</v>
      </c>
      <c r="N84" s="37">
        <v>0</v>
      </c>
      <c r="O84" s="37">
        <v>0</v>
      </c>
      <c r="P84" s="37">
        <v>1.6844912907514933</v>
      </c>
      <c r="Q84" s="37">
        <v>0.18804865981514274</v>
      </c>
      <c r="R84" s="37">
        <v>0.67950439053157741</v>
      </c>
      <c r="S84" s="37">
        <v>1.0019300246799132</v>
      </c>
      <c r="T84" s="37">
        <v>0</v>
      </c>
      <c r="U84" s="37">
        <v>0</v>
      </c>
      <c r="V84" s="37">
        <v>0</v>
      </c>
    </row>
    <row r="85" spans="2:22" s="99" customFormat="1" x14ac:dyDescent="0.3">
      <c r="B85" s="131" t="s">
        <v>98</v>
      </c>
      <c r="C85" s="131"/>
      <c r="D85" s="35">
        <v>2.2921423881706815</v>
      </c>
      <c r="E85" s="35">
        <v>0</v>
      </c>
      <c r="F85" s="35">
        <v>0.25515525363538749</v>
      </c>
      <c r="G85" s="35">
        <v>0.26743143336105391</v>
      </c>
      <c r="H85" s="35">
        <v>0.59121399851422018</v>
      </c>
      <c r="I85" s="35">
        <v>0.19311806789828923</v>
      </c>
      <c r="J85" s="35">
        <v>0</v>
      </c>
      <c r="K85" s="35">
        <v>0.1215840523717155</v>
      </c>
      <c r="L85" s="35">
        <v>0</v>
      </c>
      <c r="M85" s="35">
        <v>0.57523006115708619</v>
      </c>
      <c r="N85" s="35">
        <v>2.7205384771287848</v>
      </c>
      <c r="O85" s="35">
        <v>0</v>
      </c>
      <c r="P85" s="35">
        <v>2.5326605581891304</v>
      </c>
      <c r="Q85" s="35">
        <v>0</v>
      </c>
      <c r="R85" s="35">
        <v>1.6067066477006948</v>
      </c>
      <c r="S85" s="35">
        <v>1.4656553021264791</v>
      </c>
      <c r="T85" s="35">
        <v>0</v>
      </c>
      <c r="U85" s="35">
        <v>0</v>
      </c>
      <c r="V85" s="35">
        <v>0</v>
      </c>
    </row>
    <row r="86" spans="2:22" s="35" customFormat="1" x14ac:dyDescent="0.3">
      <c r="B86" s="131" t="s">
        <v>99</v>
      </c>
      <c r="C86" s="131"/>
      <c r="D86" s="37">
        <v>0</v>
      </c>
      <c r="E86" s="37">
        <v>0</v>
      </c>
      <c r="F86" s="37">
        <v>0.30960052752676476</v>
      </c>
      <c r="G86" s="37">
        <v>0</v>
      </c>
      <c r="H86" s="37">
        <v>0.68813391653773426</v>
      </c>
      <c r="I86" s="37">
        <v>0.33781835931249782</v>
      </c>
      <c r="J86" s="37">
        <v>5.0441319001751622E-3</v>
      </c>
      <c r="K86" s="37">
        <v>0</v>
      </c>
      <c r="L86" s="37">
        <v>0.33242568281130236</v>
      </c>
      <c r="M86" s="37">
        <v>0.48708072226625065</v>
      </c>
      <c r="N86" s="37">
        <v>0</v>
      </c>
      <c r="O86" s="37">
        <v>0</v>
      </c>
      <c r="P86" s="37">
        <v>1.2862332500815468</v>
      </c>
      <c r="Q86" s="37">
        <v>0.21983487436884303</v>
      </c>
      <c r="R86" s="37">
        <v>1.416212266386609</v>
      </c>
      <c r="S86" s="37">
        <v>0.67616407840692327</v>
      </c>
      <c r="T86" s="37">
        <v>0</v>
      </c>
      <c r="U86" s="37">
        <v>8.0301229005648976E-3</v>
      </c>
      <c r="V86" s="37">
        <v>0</v>
      </c>
    </row>
    <row r="87" spans="2:22" s="35" customFormat="1" x14ac:dyDescent="0.3">
      <c r="B87" s="131" t="s">
        <v>100</v>
      </c>
      <c r="C87" s="131"/>
      <c r="D87" s="37">
        <v>0</v>
      </c>
      <c r="E87" s="37">
        <v>0</v>
      </c>
      <c r="F87" s="37">
        <v>0.14612354133339572</v>
      </c>
      <c r="G87" s="37">
        <v>0</v>
      </c>
      <c r="H87" s="37">
        <v>0.26417811559042093</v>
      </c>
      <c r="I87" s="37">
        <v>0.20621994088485968</v>
      </c>
      <c r="J87" s="37">
        <v>0</v>
      </c>
      <c r="K87" s="37">
        <v>0</v>
      </c>
      <c r="L87" s="37">
        <v>0</v>
      </c>
      <c r="M87" s="37">
        <v>1.2358795570042003</v>
      </c>
      <c r="N87" s="37">
        <v>0.26717161913986909</v>
      </c>
      <c r="O87" s="37">
        <v>0</v>
      </c>
      <c r="P87" s="37">
        <v>0.78242480173345652</v>
      </c>
      <c r="Q87" s="37">
        <v>0.21392896187515903</v>
      </c>
      <c r="R87" s="37">
        <v>4.8797419553796217</v>
      </c>
      <c r="S87" s="37">
        <v>0.31799583858264735</v>
      </c>
      <c r="T87" s="37">
        <v>0</v>
      </c>
      <c r="U87" s="37">
        <v>0</v>
      </c>
      <c r="V87" s="37">
        <v>0</v>
      </c>
    </row>
    <row r="88" spans="2:22" s="35" customFormat="1" x14ac:dyDescent="0.3">
      <c r="B88" s="131" t="s">
        <v>101</v>
      </c>
      <c r="C88" s="131"/>
      <c r="D88" s="37">
        <v>0</v>
      </c>
      <c r="E88" s="37">
        <v>0</v>
      </c>
      <c r="F88" s="37">
        <v>0</v>
      </c>
      <c r="G88" s="37">
        <v>0</v>
      </c>
      <c r="H88" s="37">
        <v>0.24104464611282755</v>
      </c>
      <c r="I88" s="37">
        <v>0.52423978685590544</v>
      </c>
      <c r="J88" s="37">
        <v>0</v>
      </c>
      <c r="K88" s="37">
        <v>0</v>
      </c>
      <c r="L88" s="37">
        <v>0</v>
      </c>
      <c r="M88" s="37">
        <v>0.12605866090996143</v>
      </c>
      <c r="N88" s="37">
        <v>0</v>
      </c>
      <c r="O88" s="37">
        <v>0</v>
      </c>
      <c r="P88" s="37">
        <v>7.2319075210120431E-2</v>
      </c>
      <c r="Q88" s="37">
        <v>0.10397670050989402</v>
      </c>
      <c r="R88" s="37">
        <v>0.2793415919209441</v>
      </c>
      <c r="S88" s="37">
        <v>2.6498129738453752E-2</v>
      </c>
      <c r="T88" s="37">
        <v>0</v>
      </c>
      <c r="U88" s="37">
        <v>0</v>
      </c>
      <c r="V88" s="37">
        <v>0</v>
      </c>
    </row>
    <row r="89" spans="2:22" s="35" customFormat="1" x14ac:dyDescent="0.3">
      <c r="B89" s="131" t="s">
        <v>102</v>
      </c>
      <c r="C89" s="131"/>
      <c r="D89" s="37">
        <v>0</v>
      </c>
      <c r="E89" s="37">
        <v>0</v>
      </c>
      <c r="F89" s="37">
        <v>3.6143534338059879</v>
      </c>
      <c r="G89" s="37">
        <v>1.2115961061710965</v>
      </c>
      <c r="H89" s="37">
        <v>1.8454857716312101</v>
      </c>
      <c r="I89" s="37">
        <v>1.5013332648211011</v>
      </c>
      <c r="J89" s="37">
        <v>0</v>
      </c>
      <c r="K89" s="37">
        <v>0.74343725636071845</v>
      </c>
      <c r="L89" s="37">
        <v>36.678820074320839</v>
      </c>
      <c r="M89" s="37">
        <v>1.0597237848182406</v>
      </c>
      <c r="N89" s="37">
        <v>7.2432266195726251</v>
      </c>
      <c r="O89" s="37">
        <v>0</v>
      </c>
      <c r="P89" s="37">
        <v>2.2158255475092767</v>
      </c>
      <c r="Q89" s="37">
        <v>0</v>
      </c>
      <c r="R89" s="37">
        <v>11.193560630454396</v>
      </c>
      <c r="S89" s="37">
        <v>1.3470851322716682</v>
      </c>
      <c r="T89" s="37">
        <v>0</v>
      </c>
      <c r="U89" s="37">
        <v>0</v>
      </c>
      <c r="V89" s="3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58A86-AEA4-48D5-8B79-5050D86997C4}">
  <dimension ref="A2:CY109"/>
  <sheetViews>
    <sheetView workbookViewId="0">
      <selection activeCell="J104" sqref="J104"/>
    </sheetView>
  </sheetViews>
  <sheetFormatPr defaultRowHeight="14.5" x14ac:dyDescent="0.35"/>
  <cols>
    <col min="1" max="1" width="12" style="46" customWidth="1"/>
    <col min="2" max="2" width="14.6328125" style="46" customWidth="1"/>
    <col min="3" max="3" width="20.7265625" customWidth="1"/>
    <col min="5" max="5" width="8.7265625" style="132"/>
    <col min="6" max="6" width="8.7265625" style="7"/>
    <col min="7" max="7" width="8.7265625" style="15"/>
    <col min="8" max="8" width="8.7265625" style="7"/>
    <col min="9" max="9" width="8.7265625" style="10"/>
    <col min="10" max="10" width="8.7265625" style="7"/>
    <col min="11" max="11" width="8.7265625" style="15"/>
    <col min="12" max="12" width="8.7265625" style="7"/>
    <col min="13" max="13" width="8.7265625" style="10"/>
    <col min="14" max="14" width="8.7265625" style="7"/>
    <col min="15" max="15" width="8.7265625" style="15"/>
    <col min="16" max="16" width="8.7265625" style="7"/>
    <col min="17" max="17" width="8.7265625" style="10"/>
    <col min="18" max="18" width="8.7265625" style="7"/>
    <col min="19" max="19" width="8.7265625" style="15"/>
    <col min="20" max="20" width="8.7265625" style="7"/>
    <col min="21" max="21" width="8.7265625" style="10"/>
    <col min="22" max="22" width="8.7265625" style="7"/>
    <col min="23" max="23" width="8.7265625" style="15"/>
    <col min="24" max="24" width="8.7265625" style="7"/>
    <col min="25" max="25" width="8.7265625" style="10"/>
    <col min="26" max="26" width="8.7265625" style="7"/>
    <col min="27" max="27" width="8.7265625" style="15"/>
    <col min="28" max="28" width="8.7265625" style="7"/>
    <col min="29" max="29" width="8.7265625" style="10"/>
    <col min="30" max="30" width="8.7265625" style="7"/>
    <col min="31" max="31" width="8.7265625" style="15"/>
    <col min="32" max="32" width="8.7265625" style="7"/>
    <col min="33" max="33" width="8.7265625" style="10"/>
    <col min="34" max="34" width="8.7265625" style="7"/>
    <col min="35" max="35" width="8.7265625" style="15"/>
    <col min="36" max="36" width="8.7265625" style="7"/>
    <col min="37" max="37" width="8.7265625" style="10"/>
    <col min="38" max="38" width="8.7265625" style="7"/>
    <col min="39" max="39" width="8.7265625" style="15"/>
    <col min="40" max="40" width="8.7265625" style="7"/>
    <col min="41" max="41" width="8.7265625" style="10"/>
    <col min="42" max="42" width="8.7265625" style="7"/>
    <col min="43" max="43" width="8.7265625" style="15"/>
    <col min="44" max="44" width="8.7265625" style="7"/>
    <col min="45" max="45" width="8.7265625" style="10"/>
    <col min="46" max="46" width="8.7265625" style="7"/>
    <col min="47" max="47" width="8.7265625" style="15"/>
    <col min="48" max="48" width="8.7265625" style="7"/>
    <col min="49" max="49" width="8.7265625" style="10"/>
    <col min="50" max="50" width="8.7265625" style="7"/>
    <col min="51" max="51" width="8.7265625" style="15"/>
    <col min="52" max="52" width="8.7265625" style="7"/>
    <col min="53" max="53" width="8.7265625" style="10"/>
    <col min="54" max="54" width="8.7265625" style="7"/>
    <col min="55" max="55" width="8.7265625" style="15"/>
    <col min="56" max="56" width="8.7265625" style="7"/>
    <col min="57" max="57" width="8.7265625" style="10"/>
    <col min="58" max="58" width="8.7265625" style="7"/>
    <col min="59" max="59" width="8.7265625" style="15"/>
    <col min="60" max="60" width="8.7265625" style="7"/>
    <col min="61" max="61" width="8.7265625" style="10"/>
  </cols>
  <sheetData>
    <row r="2" spans="1:103" x14ac:dyDescent="0.35">
      <c r="F2" s="137" t="s">
        <v>255</v>
      </c>
      <c r="G2" s="18"/>
      <c r="H2" s="17"/>
      <c r="I2" s="16"/>
      <c r="J2" s="17"/>
      <c r="K2" s="18"/>
      <c r="L2" s="17"/>
      <c r="M2" s="16"/>
      <c r="N2" s="17"/>
      <c r="O2" s="18"/>
      <c r="P2" s="17"/>
      <c r="Q2" s="16"/>
      <c r="R2" s="17"/>
      <c r="S2" s="18"/>
      <c r="T2" s="17"/>
      <c r="U2" s="16"/>
      <c r="V2" s="17"/>
      <c r="W2" s="18"/>
      <c r="X2" s="17"/>
      <c r="Y2" s="16"/>
      <c r="Z2" s="17"/>
      <c r="AA2" s="18"/>
      <c r="AB2" s="17"/>
      <c r="AC2" s="16"/>
      <c r="AD2" s="17"/>
      <c r="AE2" s="18"/>
      <c r="AF2" s="17"/>
      <c r="AG2" s="16"/>
      <c r="AH2" s="17"/>
      <c r="AI2" s="18"/>
      <c r="AJ2" s="17"/>
      <c r="AK2" s="16"/>
      <c r="AL2" s="17"/>
      <c r="AM2" s="18"/>
      <c r="AN2" s="17"/>
      <c r="AO2" s="16"/>
      <c r="AP2" s="17"/>
      <c r="AQ2" s="18"/>
      <c r="AR2" s="17"/>
      <c r="AS2" s="16"/>
      <c r="AT2" s="17"/>
      <c r="AU2" s="18"/>
      <c r="AV2" s="17"/>
      <c r="AW2" s="16"/>
      <c r="AX2" s="17"/>
      <c r="AY2" s="18"/>
      <c r="AZ2" s="17"/>
      <c r="BA2" s="16"/>
      <c r="BB2" s="17"/>
      <c r="BC2" s="18"/>
      <c r="BD2" s="17"/>
      <c r="BE2" s="16"/>
      <c r="BF2" s="17"/>
      <c r="BG2" s="18"/>
      <c r="BH2" s="17"/>
      <c r="BI2" s="16"/>
    </row>
    <row r="3" spans="1:103" x14ac:dyDescent="0.35">
      <c r="C3" s="56" t="s">
        <v>244</v>
      </c>
      <c r="D3" s="39"/>
      <c r="E3" s="133"/>
      <c r="F3" s="17"/>
      <c r="G3" s="137"/>
      <c r="H3" s="137"/>
      <c r="I3" s="137"/>
      <c r="J3" s="137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6"/>
    </row>
    <row r="4" spans="1:103" s="20" customFormat="1" ht="12" x14ac:dyDescent="0.3">
      <c r="A4" s="46"/>
      <c r="B4" s="46"/>
      <c r="C4" s="57" t="s">
        <v>226</v>
      </c>
      <c r="D4" s="40"/>
      <c r="E4" s="133"/>
      <c r="F4" s="155" t="s">
        <v>1</v>
      </c>
      <c r="G4" s="155"/>
      <c r="H4" s="155"/>
      <c r="I4" s="155"/>
      <c r="J4" s="154" t="s">
        <v>2</v>
      </c>
      <c r="K4" s="154"/>
      <c r="L4" s="154"/>
      <c r="M4" s="154"/>
      <c r="N4" s="155" t="s">
        <v>3</v>
      </c>
      <c r="O4" s="155"/>
      <c r="P4" s="155"/>
      <c r="Q4" s="155"/>
      <c r="R4" s="154" t="s">
        <v>4</v>
      </c>
      <c r="S4" s="154"/>
      <c r="T4" s="154"/>
      <c r="U4" s="154"/>
      <c r="V4" s="155" t="s">
        <v>5</v>
      </c>
      <c r="W4" s="155"/>
      <c r="X4" s="155"/>
      <c r="Y4" s="155"/>
      <c r="Z4" s="154" t="s">
        <v>6</v>
      </c>
      <c r="AA4" s="154"/>
      <c r="AB4" s="154"/>
      <c r="AC4" s="154"/>
      <c r="AD4" s="155" t="s">
        <v>7</v>
      </c>
      <c r="AE4" s="155"/>
      <c r="AF4" s="155"/>
      <c r="AG4" s="155"/>
      <c r="AH4" s="154" t="s">
        <v>8</v>
      </c>
      <c r="AI4" s="154"/>
      <c r="AJ4" s="154"/>
      <c r="AK4" s="154"/>
      <c r="AL4" s="155" t="s">
        <v>9</v>
      </c>
      <c r="AM4" s="155"/>
      <c r="AN4" s="155"/>
      <c r="AO4" s="155"/>
      <c r="AP4" s="154" t="s">
        <v>10</v>
      </c>
      <c r="AQ4" s="154"/>
      <c r="AR4" s="154"/>
      <c r="AS4" s="154"/>
      <c r="AT4" s="155" t="s">
        <v>12</v>
      </c>
      <c r="AU4" s="155"/>
      <c r="AV4" s="155"/>
      <c r="AW4" s="155"/>
      <c r="AX4" s="154" t="s">
        <v>13</v>
      </c>
      <c r="AY4" s="154"/>
      <c r="AZ4" s="154"/>
      <c r="BA4" s="154"/>
      <c r="BB4" s="157" t="s">
        <v>14</v>
      </c>
      <c r="BC4" s="157"/>
      <c r="BD4" s="157"/>
      <c r="BE4" s="157"/>
      <c r="BF4" s="154" t="s">
        <v>204</v>
      </c>
      <c r="BG4" s="154"/>
      <c r="BH4" s="154"/>
      <c r="BI4" s="154"/>
      <c r="BJ4" s="32"/>
      <c r="BK4" s="63"/>
      <c r="BL4" s="63"/>
    </row>
    <row r="5" spans="1:103" x14ac:dyDescent="0.35">
      <c r="C5" s="14"/>
      <c r="F5" s="77"/>
      <c r="G5" s="78"/>
      <c r="H5" s="23"/>
      <c r="I5" s="23"/>
      <c r="J5" s="79"/>
      <c r="K5" s="80"/>
      <c r="L5" s="81"/>
      <c r="M5" s="81"/>
      <c r="N5" s="77"/>
      <c r="O5" s="78"/>
      <c r="P5" s="82"/>
      <c r="Q5" s="27"/>
      <c r="R5" s="79"/>
      <c r="S5" s="80"/>
      <c r="T5" s="83"/>
      <c r="U5" s="31"/>
      <c r="V5" s="77"/>
      <c r="W5" s="78"/>
      <c r="X5" s="77"/>
      <c r="Y5" s="86"/>
      <c r="Z5" s="79"/>
      <c r="AA5" s="80"/>
      <c r="AB5" s="79"/>
      <c r="AC5" s="81"/>
      <c r="AD5" s="77"/>
      <c r="AE5" s="78"/>
      <c r="AF5" s="77"/>
      <c r="AG5" s="86"/>
      <c r="AH5" s="79"/>
      <c r="AI5" s="80"/>
      <c r="AJ5" s="79"/>
      <c r="AK5" s="81"/>
      <c r="AL5" s="77"/>
      <c r="AM5" s="78"/>
      <c r="AN5" s="77"/>
      <c r="AO5" s="86"/>
      <c r="AP5" s="79"/>
      <c r="AQ5" s="80"/>
      <c r="AR5" s="79"/>
      <c r="AS5" s="81"/>
      <c r="AT5" s="77"/>
      <c r="AU5" s="78"/>
      <c r="AV5" s="77"/>
      <c r="AW5" s="86"/>
      <c r="AX5" s="79"/>
      <c r="AY5" s="80"/>
      <c r="AZ5" s="79"/>
      <c r="BA5" s="81"/>
      <c r="BB5" s="77"/>
      <c r="BC5" s="78"/>
      <c r="BD5" s="77"/>
      <c r="BE5" s="86"/>
      <c r="BF5" s="79"/>
      <c r="BG5" s="80"/>
      <c r="BH5" s="79"/>
      <c r="BI5" s="81"/>
      <c r="BJ5" s="63"/>
      <c r="BK5" s="66"/>
      <c r="BL5" s="84" t="s">
        <v>103</v>
      </c>
    </row>
    <row r="6" spans="1:103" x14ac:dyDescent="0.35">
      <c r="A6" s="48"/>
      <c r="B6" s="48"/>
      <c r="C6" s="14"/>
      <c r="F6" s="73" t="s">
        <v>246</v>
      </c>
      <c r="G6" s="78" t="s">
        <v>247</v>
      </c>
      <c r="H6" s="77"/>
      <c r="I6" s="86"/>
      <c r="J6" s="74" t="s">
        <v>246</v>
      </c>
      <c r="K6" s="80" t="s">
        <v>247</v>
      </c>
      <c r="L6" s="79"/>
      <c r="M6" s="81"/>
      <c r="N6" s="73" t="s">
        <v>246</v>
      </c>
      <c r="O6" s="78" t="s">
        <v>247</v>
      </c>
      <c r="P6" s="77"/>
      <c r="Q6" s="86"/>
      <c r="R6" s="74" t="s">
        <v>246</v>
      </c>
      <c r="S6" s="80" t="s">
        <v>247</v>
      </c>
      <c r="T6" s="79"/>
      <c r="U6" s="81"/>
      <c r="V6" s="73" t="s">
        <v>246</v>
      </c>
      <c r="W6" s="78" t="s">
        <v>247</v>
      </c>
      <c r="X6" s="77"/>
      <c r="Y6" s="86"/>
      <c r="Z6" s="74" t="s">
        <v>246</v>
      </c>
      <c r="AA6" s="80" t="s">
        <v>247</v>
      </c>
      <c r="AB6" s="79"/>
      <c r="AC6" s="81"/>
      <c r="AD6" s="73" t="s">
        <v>246</v>
      </c>
      <c r="AE6" s="78" t="s">
        <v>247</v>
      </c>
      <c r="AF6" s="77"/>
      <c r="AG6" s="86"/>
      <c r="AH6" s="74" t="s">
        <v>246</v>
      </c>
      <c r="AI6" s="80" t="s">
        <v>247</v>
      </c>
      <c r="AJ6" s="79"/>
      <c r="AK6" s="81"/>
      <c r="AL6" s="73" t="s">
        <v>246</v>
      </c>
      <c r="AM6" s="78" t="s">
        <v>247</v>
      </c>
      <c r="AN6" s="77"/>
      <c r="AO6" s="86"/>
      <c r="AP6" s="74" t="s">
        <v>246</v>
      </c>
      <c r="AQ6" s="80" t="s">
        <v>247</v>
      </c>
      <c r="AR6" s="79"/>
      <c r="AS6" s="81"/>
      <c r="AT6" s="73" t="s">
        <v>246</v>
      </c>
      <c r="AU6" s="78" t="s">
        <v>247</v>
      </c>
      <c r="AV6" s="77"/>
      <c r="AW6" s="86"/>
      <c r="AX6" s="74" t="s">
        <v>246</v>
      </c>
      <c r="AY6" s="80" t="s">
        <v>247</v>
      </c>
      <c r="AZ6" s="79"/>
      <c r="BA6" s="81"/>
      <c r="BB6" s="73" t="s">
        <v>246</v>
      </c>
      <c r="BC6" s="78" t="s">
        <v>247</v>
      </c>
      <c r="BD6" s="77"/>
      <c r="BE6" s="86"/>
      <c r="BF6" s="74" t="s">
        <v>246</v>
      </c>
      <c r="BG6" s="80" t="s">
        <v>247</v>
      </c>
      <c r="BH6" s="79"/>
      <c r="BI6" s="81"/>
      <c r="BJ6" s="85"/>
      <c r="BK6" s="66"/>
      <c r="BL6" s="84" t="s">
        <v>104</v>
      </c>
    </row>
    <row r="7" spans="1:103" s="1" customFormat="1" ht="12" x14ac:dyDescent="0.3">
      <c r="A7" s="47"/>
      <c r="B7" s="47"/>
      <c r="C7" s="58" t="s">
        <v>203</v>
      </c>
      <c r="D7" s="5"/>
      <c r="E7" s="134"/>
      <c r="F7" s="21" t="s">
        <v>232</v>
      </c>
      <c r="G7" s="29" t="s">
        <v>233</v>
      </c>
      <c r="H7" s="64" t="s">
        <v>105</v>
      </c>
      <c r="I7" s="86" t="s">
        <v>117</v>
      </c>
      <c r="J7" s="24" t="s">
        <v>232</v>
      </c>
      <c r="K7" s="30" t="s">
        <v>233</v>
      </c>
      <c r="L7" s="65" t="s">
        <v>106</v>
      </c>
      <c r="M7" s="81" t="s">
        <v>117</v>
      </c>
      <c r="N7" s="21" t="s">
        <v>232</v>
      </c>
      <c r="O7" s="29" t="s">
        <v>233</v>
      </c>
      <c r="P7" s="64" t="s">
        <v>107</v>
      </c>
      <c r="Q7" s="86" t="s">
        <v>117</v>
      </c>
      <c r="R7" s="24" t="s">
        <v>232</v>
      </c>
      <c r="S7" s="30" t="s">
        <v>233</v>
      </c>
      <c r="T7" s="65" t="s">
        <v>108</v>
      </c>
      <c r="U7" s="81" t="s">
        <v>117</v>
      </c>
      <c r="V7" s="21" t="s">
        <v>232</v>
      </c>
      <c r="W7" s="29" t="s">
        <v>233</v>
      </c>
      <c r="X7" s="64" t="s">
        <v>235</v>
      </c>
      <c r="Y7" s="86" t="s">
        <v>117</v>
      </c>
      <c r="Z7" s="24" t="s">
        <v>232</v>
      </c>
      <c r="AA7" s="30" t="s">
        <v>233</v>
      </c>
      <c r="AB7" s="65" t="s">
        <v>236</v>
      </c>
      <c r="AC7" s="81" t="s">
        <v>117</v>
      </c>
      <c r="AD7" s="21" t="s">
        <v>232</v>
      </c>
      <c r="AE7" s="29" t="s">
        <v>233</v>
      </c>
      <c r="AF7" s="64" t="s">
        <v>237</v>
      </c>
      <c r="AG7" s="86" t="s">
        <v>117</v>
      </c>
      <c r="AH7" s="24" t="s">
        <v>232</v>
      </c>
      <c r="AI7" s="30" t="s">
        <v>233</v>
      </c>
      <c r="AJ7" s="65" t="s">
        <v>238</v>
      </c>
      <c r="AK7" s="81" t="s">
        <v>117</v>
      </c>
      <c r="AL7" s="21" t="s">
        <v>232</v>
      </c>
      <c r="AM7" s="29" t="s">
        <v>233</v>
      </c>
      <c r="AN7" s="64" t="s">
        <v>234</v>
      </c>
      <c r="AO7" s="86" t="s">
        <v>117</v>
      </c>
      <c r="AP7" s="24" t="s">
        <v>232</v>
      </c>
      <c r="AQ7" s="30" t="s">
        <v>233</v>
      </c>
      <c r="AR7" s="65" t="s">
        <v>239</v>
      </c>
      <c r="AS7" s="81" t="s">
        <v>117</v>
      </c>
      <c r="AT7" s="21" t="s">
        <v>232</v>
      </c>
      <c r="AU7" s="29" t="s">
        <v>233</v>
      </c>
      <c r="AV7" s="64" t="s">
        <v>240</v>
      </c>
      <c r="AW7" s="86" t="s">
        <v>117</v>
      </c>
      <c r="AX7" s="24" t="s">
        <v>232</v>
      </c>
      <c r="AY7" s="30" t="s">
        <v>233</v>
      </c>
      <c r="AZ7" s="65" t="s">
        <v>241</v>
      </c>
      <c r="BA7" s="81" t="s">
        <v>117</v>
      </c>
      <c r="BB7" s="21" t="s">
        <v>232</v>
      </c>
      <c r="BC7" s="29" t="s">
        <v>233</v>
      </c>
      <c r="BD7" s="64" t="s">
        <v>242</v>
      </c>
      <c r="BE7" s="86" t="s">
        <v>117</v>
      </c>
      <c r="BF7" s="24" t="s">
        <v>232</v>
      </c>
      <c r="BG7" s="30" t="s">
        <v>233</v>
      </c>
      <c r="BH7" s="65" t="s">
        <v>243</v>
      </c>
      <c r="BI7" s="81" t="s">
        <v>117</v>
      </c>
      <c r="BJ7" s="85"/>
      <c r="BK7" s="66"/>
      <c r="BL7" s="47"/>
    </row>
    <row r="8" spans="1:103" s="3" customFormat="1" ht="12" x14ac:dyDescent="0.3">
      <c r="A8" s="47" t="s">
        <v>250</v>
      </c>
      <c r="B8" s="47" t="s">
        <v>251</v>
      </c>
      <c r="C8" s="59" t="s">
        <v>245</v>
      </c>
      <c r="D8" s="41" t="s">
        <v>109</v>
      </c>
      <c r="E8" s="134" t="s">
        <v>110</v>
      </c>
      <c r="F8" s="87" t="s">
        <v>231</v>
      </c>
      <c r="G8" s="88" t="s">
        <v>230</v>
      </c>
      <c r="H8" s="67" t="s">
        <v>111</v>
      </c>
      <c r="I8" s="89" t="s">
        <v>116</v>
      </c>
      <c r="J8" s="90" t="s">
        <v>231</v>
      </c>
      <c r="K8" s="91" t="s">
        <v>230</v>
      </c>
      <c r="L8" s="68" t="s">
        <v>111</v>
      </c>
      <c r="M8" s="92" t="s">
        <v>116</v>
      </c>
      <c r="N8" s="87" t="s">
        <v>231</v>
      </c>
      <c r="O8" s="88" t="s">
        <v>230</v>
      </c>
      <c r="P8" s="67" t="s">
        <v>111</v>
      </c>
      <c r="Q8" s="89" t="s">
        <v>116</v>
      </c>
      <c r="R8" s="90" t="s">
        <v>231</v>
      </c>
      <c r="S8" s="91" t="s">
        <v>230</v>
      </c>
      <c r="T8" s="68" t="s">
        <v>111</v>
      </c>
      <c r="U8" s="92" t="s">
        <v>116</v>
      </c>
      <c r="V8" s="87" t="s">
        <v>231</v>
      </c>
      <c r="W8" s="88" t="s">
        <v>230</v>
      </c>
      <c r="X8" s="67" t="s">
        <v>111</v>
      </c>
      <c r="Y8" s="89" t="s">
        <v>116</v>
      </c>
      <c r="Z8" s="90" t="s">
        <v>231</v>
      </c>
      <c r="AA8" s="91" t="s">
        <v>230</v>
      </c>
      <c r="AB8" s="68" t="s">
        <v>111</v>
      </c>
      <c r="AC8" s="92" t="s">
        <v>116</v>
      </c>
      <c r="AD8" s="87" t="s">
        <v>231</v>
      </c>
      <c r="AE8" s="88" t="s">
        <v>230</v>
      </c>
      <c r="AF8" s="67" t="s">
        <v>111</v>
      </c>
      <c r="AG8" s="89" t="s">
        <v>116</v>
      </c>
      <c r="AH8" s="90" t="s">
        <v>231</v>
      </c>
      <c r="AI8" s="91" t="s">
        <v>230</v>
      </c>
      <c r="AJ8" s="68" t="s">
        <v>111</v>
      </c>
      <c r="AK8" s="92" t="s">
        <v>116</v>
      </c>
      <c r="AL8" s="87" t="s">
        <v>231</v>
      </c>
      <c r="AM8" s="88" t="s">
        <v>230</v>
      </c>
      <c r="AN8" s="67" t="s">
        <v>111</v>
      </c>
      <c r="AO8" s="89" t="s">
        <v>116</v>
      </c>
      <c r="AP8" s="90" t="s">
        <v>231</v>
      </c>
      <c r="AQ8" s="91" t="s">
        <v>230</v>
      </c>
      <c r="AR8" s="68" t="s">
        <v>111</v>
      </c>
      <c r="AS8" s="92" t="s">
        <v>116</v>
      </c>
      <c r="AT8" s="87" t="s">
        <v>231</v>
      </c>
      <c r="AU8" s="88" t="s">
        <v>230</v>
      </c>
      <c r="AV8" s="67" t="s">
        <v>111</v>
      </c>
      <c r="AW8" s="89" t="s">
        <v>116</v>
      </c>
      <c r="AX8" s="90" t="s">
        <v>231</v>
      </c>
      <c r="AY8" s="91" t="s">
        <v>230</v>
      </c>
      <c r="AZ8" s="68" t="s">
        <v>111</v>
      </c>
      <c r="BA8" s="92" t="s">
        <v>116</v>
      </c>
      <c r="BB8" s="87" t="s">
        <v>231</v>
      </c>
      <c r="BC8" s="88" t="s">
        <v>230</v>
      </c>
      <c r="BD8" s="67" t="s">
        <v>111</v>
      </c>
      <c r="BE8" s="89" t="s">
        <v>116</v>
      </c>
      <c r="BF8" s="90" t="s">
        <v>231</v>
      </c>
      <c r="BG8" s="91" t="s">
        <v>230</v>
      </c>
      <c r="BH8" s="68" t="s">
        <v>111</v>
      </c>
      <c r="BI8" s="92" t="s">
        <v>116</v>
      </c>
      <c r="BJ8" s="69"/>
      <c r="BK8" s="33" t="s">
        <v>112</v>
      </c>
      <c r="BL8" s="70" t="s">
        <v>113</v>
      </c>
    </row>
    <row r="9" spans="1:103" s="3" customFormat="1" ht="12" x14ac:dyDescent="0.3">
      <c r="A9" s="47" t="s">
        <v>249</v>
      </c>
      <c r="B9" s="47" t="s">
        <v>248</v>
      </c>
      <c r="C9" s="58"/>
      <c r="D9" s="5"/>
      <c r="E9" s="134"/>
      <c r="F9" s="23"/>
      <c r="G9" s="71"/>
      <c r="H9" s="23"/>
      <c r="I9" s="23"/>
      <c r="J9" s="26"/>
      <c r="K9" s="72"/>
      <c r="L9" s="26"/>
      <c r="M9" s="26"/>
      <c r="N9" s="23"/>
      <c r="O9" s="71"/>
      <c r="P9" s="27"/>
      <c r="Q9" s="27"/>
      <c r="R9" s="26"/>
      <c r="S9" s="72"/>
      <c r="T9" s="31"/>
      <c r="U9" s="31"/>
      <c r="V9" s="23"/>
      <c r="W9" s="71"/>
      <c r="X9" s="23"/>
      <c r="Y9" s="23"/>
      <c r="Z9" s="26"/>
      <c r="AA9" s="72"/>
      <c r="AB9" s="26"/>
      <c r="AC9" s="26"/>
      <c r="AD9" s="23"/>
      <c r="AE9" s="71"/>
      <c r="AF9" s="23"/>
      <c r="AG9" s="23"/>
      <c r="AH9" s="26"/>
      <c r="AI9" s="72"/>
      <c r="AJ9" s="26"/>
      <c r="AK9" s="26"/>
      <c r="AL9" s="23"/>
      <c r="AM9" s="71"/>
      <c r="AN9" s="23"/>
      <c r="AO9" s="23"/>
      <c r="AP9" s="26"/>
      <c r="AQ9" s="72"/>
      <c r="AR9" s="26"/>
      <c r="AS9" s="26"/>
      <c r="AT9" s="23"/>
      <c r="AU9" s="71"/>
      <c r="AV9" s="23"/>
      <c r="AW9" s="23"/>
      <c r="AX9" s="26"/>
      <c r="AY9" s="72"/>
      <c r="AZ9" s="26"/>
      <c r="BA9" s="26"/>
      <c r="BB9" s="23"/>
      <c r="BC9" s="71"/>
      <c r="BD9" s="23"/>
      <c r="BE9" s="23"/>
      <c r="BF9" s="26"/>
      <c r="BG9" s="72"/>
      <c r="BH9" s="26"/>
      <c r="BI9" s="26"/>
      <c r="BJ9" s="69"/>
      <c r="BK9" s="33">
        <v>10</v>
      </c>
      <c r="BL9" s="32"/>
    </row>
    <row r="10" spans="1:103" s="3" customFormat="1" ht="12" x14ac:dyDescent="0.3">
      <c r="A10" s="47"/>
      <c r="B10" s="47"/>
      <c r="C10" s="58"/>
      <c r="D10" s="5"/>
      <c r="E10" s="134"/>
      <c r="F10" s="67"/>
      <c r="G10" s="22"/>
      <c r="H10" s="67"/>
      <c r="I10" s="23"/>
      <c r="J10" s="68"/>
      <c r="K10" s="25"/>
      <c r="L10" s="68"/>
      <c r="M10" s="26"/>
      <c r="N10" s="67"/>
      <c r="O10" s="22"/>
      <c r="P10" s="82"/>
      <c r="Q10" s="27"/>
      <c r="R10" s="68"/>
      <c r="S10" s="25"/>
      <c r="T10" s="83"/>
      <c r="U10" s="31"/>
      <c r="V10" s="67"/>
      <c r="W10" s="22"/>
      <c r="X10" s="67"/>
      <c r="Y10" s="23"/>
      <c r="Z10" s="68"/>
      <c r="AA10" s="25"/>
      <c r="AB10" s="68"/>
      <c r="AC10" s="26"/>
      <c r="AD10" s="67"/>
      <c r="AE10" s="22"/>
      <c r="AF10" s="67"/>
      <c r="AG10" s="23"/>
      <c r="AH10" s="68"/>
      <c r="AI10" s="25"/>
      <c r="AJ10" s="68"/>
      <c r="AK10" s="26"/>
      <c r="AL10" s="67"/>
      <c r="AM10" s="22"/>
      <c r="AN10" s="67"/>
      <c r="AO10" s="23"/>
      <c r="AP10" s="68"/>
      <c r="AQ10" s="25"/>
      <c r="AR10" s="68"/>
      <c r="AS10" s="26"/>
      <c r="AT10" s="67"/>
      <c r="AU10" s="22"/>
      <c r="AV10" s="67"/>
      <c r="AW10" s="23"/>
      <c r="AX10" s="68"/>
      <c r="AY10" s="25"/>
      <c r="AZ10" s="68"/>
      <c r="BA10" s="26"/>
      <c r="BB10" s="67"/>
      <c r="BC10" s="22"/>
      <c r="BD10" s="67"/>
      <c r="BE10" s="23"/>
      <c r="BF10" s="68"/>
      <c r="BG10" s="25"/>
      <c r="BH10" s="68"/>
      <c r="BI10" s="26"/>
      <c r="BJ10" s="99"/>
      <c r="BK10" s="66"/>
      <c r="BL10" s="47"/>
      <c r="BM10" s="1"/>
      <c r="BN10" s="1"/>
      <c r="BO10" s="1"/>
      <c r="BP10" s="1"/>
      <c r="BQ10" s="1"/>
      <c r="BR10" s="1"/>
      <c r="BS10" s="1"/>
      <c r="BT10" s="1"/>
      <c r="BU10" s="1"/>
    </row>
    <row r="11" spans="1:103" s="36" customFormat="1" ht="12" x14ac:dyDescent="0.3">
      <c r="A11" s="43" t="s">
        <v>21</v>
      </c>
      <c r="B11" s="49" t="s">
        <v>119</v>
      </c>
      <c r="C11" s="60">
        <v>23.923179212140674</v>
      </c>
      <c r="D11" s="42">
        <v>4.01</v>
      </c>
      <c r="E11" s="135">
        <v>7.1</v>
      </c>
      <c r="F11" s="21"/>
      <c r="G11" s="22"/>
      <c r="H11" s="67"/>
      <c r="I11" s="23"/>
      <c r="J11" s="24"/>
      <c r="K11" s="25"/>
      <c r="L11" s="68"/>
      <c r="M11" s="26"/>
      <c r="N11" s="21"/>
      <c r="O11" s="22"/>
      <c r="P11" s="82"/>
      <c r="Q11" s="27"/>
      <c r="R11" s="24"/>
      <c r="S11" s="25"/>
      <c r="T11" s="28"/>
      <c r="U11" s="140"/>
      <c r="V11" s="21">
        <v>1.1739614158267</v>
      </c>
      <c r="W11" s="29">
        <v>103.33</v>
      </c>
      <c r="X11" s="82">
        <f>(V11-0.01*W11)/W11</f>
        <v>1.3612834203687205E-3</v>
      </c>
      <c r="Y11" s="23">
        <f xml:space="preserve"> LOG(X11*1000)</f>
        <v>0.13394855509885406</v>
      </c>
      <c r="Z11" s="24">
        <v>0.34655457043697729</v>
      </c>
      <c r="AA11" s="30">
        <v>23.98</v>
      </c>
      <c r="AB11" s="83">
        <f>(Z11-0.01*AA11)/AA11</f>
        <v>4.4518169489982185E-3</v>
      </c>
      <c r="AC11" s="26">
        <f xml:space="preserve"> LOG(AB11*1000)</f>
        <v>0.64853729859295617</v>
      </c>
      <c r="AD11" s="21"/>
      <c r="AE11" s="22"/>
      <c r="AF11" s="21"/>
      <c r="AG11" s="141"/>
      <c r="AH11" s="24"/>
      <c r="AI11" s="25"/>
      <c r="AJ11" s="24"/>
      <c r="AK11" s="142"/>
      <c r="AL11" s="21">
        <v>0.8847149117915456</v>
      </c>
      <c r="AM11" s="29">
        <v>21.78</v>
      </c>
      <c r="AN11" s="67">
        <f>(AL11-0.01*AM11)/AM11</f>
        <v>3.0620519366003011E-2</v>
      </c>
      <c r="AO11" s="23">
        <f xml:space="preserve"> LOG(AN11*1000)</f>
        <v>1.4860125526547405</v>
      </c>
      <c r="AP11" s="24">
        <v>0.37845020212120911</v>
      </c>
      <c r="AQ11" s="30">
        <v>1.74</v>
      </c>
      <c r="AR11" s="68">
        <f>(AP11-0.01*AQ11)/AQ11</f>
        <v>0.20750011616161443</v>
      </c>
      <c r="AS11" s="26">
        <f xml:space="preserve"> LOG(AR11*1000)</f>
        <v>2.3170183441726127</v>
      </c>
      <c r="AT11" s="21">
        <v>9.2961172695036822</v>
      </c>
      <c r="AU11" s="29">
        <v>330.37</v>
      </c>
      <c r="AV11" s="67">
        <f t="shared" ref="AV11:AV20" si="0">(AT11-0.01*AU11)/AU11</f>
        <v>1.8138503101079645E-2</v>
      </c>
      <c r="AW11" s="23">
        <f t="shared" ref="AW11:AW20" si="1" xml:space="preserve"> LOG(AV11*1000)</f>
        <v>1.258601443596997</v>
      </c>
      <c r="AX11" s="24">
        <v>0.87805945010118647</v>
      </c>
      <c r="AY11" s="30">
        <v>6</v>
      </c>
      <c r="AZ11" s="68">
        <f>(AX11-0.01*AY11)/AY11</f>
        <v>0.13634324168353107</v>
      </c>
      <c r="BA11" s="26">
        <f xml:space="preserve"> LOG(AZ11*1000)</f>
        <v>2.1346336155281636</v>
      </c>
      <c r="BB11" s="21">
        <v>1.1488488204896772</v>
      </c>
      <c r="BC11" s="29">
        <v>0.39</v>
      </c>
      <c r="BD11" s="67">
        <f>(BB11-0.01*BC11)/BC11</f>
        <v>2.9357662063837875</v>
      </c>
      <c r="BE11" s="23">
        <f xml:space="preserve"> LOG(BD11*1000)</f>
        <v>3.4677214670068852</v>
      </c>
      <c r="BF11" s="24">
        <v>8.1566590833583543</v>
      </c>
      <c r="BG11" s="30">
        <v>12.61</v>
      </c>
      <c r="BH11" s="68">
        <f>(BF11-0.01*BG11)/BG11</f>
        <v>0.6368405300046277</v>
      </c>
      <c r="BI11" s="26">
        <f xml:space="preserve"> LOG(BH11*1000)</f>
        <v>2.8040306951147174</v>
      </c>
      <c r="BJ11" s="47"/>
      <c r="BK11" s="66">
        <v>10</v>
      </c>
      <c r="BL11" s="34"/>
      <c r="BM11" s="35"/>
      <c r="BN11" s="35"/>
      <c r="BO11" s="35"/>
      <c r="BP11" s="35"/>
      <c r="BQ11" s="35"/>
      <c r="BR11" s="35"/>
      <c r="BS11" s="35"/>
      <c r="BT11" s="35"/>
      <c r="BU11" s="35"/>
      <c r="BV11" s="35"/>
      <c r="BW11" s="35"/>
      <c r="BX11" s="35"/>
      <c r="BY11" s="35"/>
      <c r="BZ11" s="35"/>
      <c r="CA11" s="35"/>
      <c r="CB11" s="35"/>
      <c r="CC11" s="35"/>
      <c r="CD11" s="35"/>
      <c r="CE11" s="35"/>
      <c r="CF11" s="35"/>
      <c r="CG11" s="35"/>
      <c r="CH11" s="35"/>
      <c r="CI11" s="35"/>
      <c r="CJ11" s="35"/>
      <c r="CK11" s="35"/>
      <c r="CL11" s="35"/>
      <c r="CM11" s="35"/>
      <c r="CN11" s="35"/>
      <c r="CO11" s="35"/>
      <c r="CP11" s="35"/>
      <c r="CQ11" s="35"/>
      <c r="CR11" s="35"/>
      <c r="CS11" s="35"/>
      <c r="CT11" s="35"/>
      <c r="CU11" s="35"/>
      <c r="CV11" s="35"/>
      <c r="CW11" s="35"/>
      <c r="CX11" s="35"/>
      <c r="CY11" s="35"/>
    </row>
    <row r="12" spans="1:103" s="35" customFormat="1" ht="12" x14ac:dyDescent="0.3">
      <c r="A12" s="43" t="s">
        <v>24</v>
      </c>
      <c r="B12" s="49" t="s">
        <v>120</v>
      </c>
      <c r="C12" s="60">
        <v>3.6155717898074409</v>
      </c>
      <c r="D12" s="42">
        <v>2.65</v>
      </c>
      <c r="E12" s="135">
        <v>6.9</v>
      </c>
      <c r="F12" s="21"/>
      <c r="G12" s="22"/>
      <c r="H12" s="67"/>
      <c r="I12" s="23"/>
      <c r="J12" s="24"/>
      <c r="K12" s="25"/>
      <c r="L12" s="68"/>
      <c r="M12" s="26"/>
      <c r="N12" s="21"/>
      <c r="O12" s="22"/>
      <c r="P12" s="82"/>
      <c r="Q12" s="27"/>
      <c r="R12" s="24"/>
      <c r="S12" s="25"/>
      <c r="T12" s="28"/>
      <c r="U12" s="140"/>
      <c r="V12" s="21"/>
      <c r="W12" s="22"/>
      <c r="X12" s="67"/>
      <c r="Y12" s="23"/>
      <c r="Z12" s="24"/>
      <c r="AA12" s="25"/>
      <c r="AB12" s="68"/>
      <c r="AC12" s="26"/>
      <c r="AD12" s="21"/>
      <c r="AE12" s="22"/>
      <c r="AF12" s="21"/>
      <c r="AG12" s="141"/>
      <c r="AH12" s="24"/>
      <c r="AI12" s="25"/>
      <c r="AJ12" s="24"/>
      <c r="AK12" s="142"/>
      <c r="AL12" s="21"/>
      <c r="AM12" s="22"/>
      <c r="AN12" s="21"/>
      <c r="AO12" s="23"/>
      <c r="AP12" s="24"/>
      <c r="AQ12" s="25"/>
      <c r="AR12" s="24"/>
      <c r="AS12" s="26"/>
      <c r="AT12" s="21">
        <v>1.0725222957957583</v>
      </c>
      <c r="AU12" s="29">
        <v>18.59</v>
      </c>
      <c r="AV12" s="67">
        <f t="shared" si="0"/>
        <v>4.7693507035812717E-2</v>
      </c>
      <c r="AW12" s="23">
        <f t="shared" si="1"/>
        <v>1.6784592584854827</v>
      </c>
      <c r="AX12" s="24"/>
      <c r="AY12" s="25"/>
      <c r="AZ12" s="24"/>
      <c r="BA12" s="26"/>
      <c r="BB12" s="21"/>
      <c r="BC12" s="22"/>
      <c r="BD12" s="21"/>
      <c r="BE12" s="23"/>
      <c r="BF12" s="24"/>
      <c r="BG12" s="25"/>
      <c r="BH12" s="24"/>
      <c r="BI12" s="26"/>
      <c r="BJ12" s="37"/>
      <c r="BK12" s="66">
        <v>10</v>
      </c>
      <c r="BL12" s="34"/>
    </row>
    <row r="13" spans="1:103" s="36" customFormat="1" ht="12" x14ac:dyDescent="0.3">
      <c r="A13" s="43" t="s">
        <v>27</v>
      </c>
      <c r="B13" s="49" t="s">
        <v>121</v>
      </c>
      <c r="C13" s="60">
        <v>9.7410048885669642</v>
      </c>
      <c r="D13" s="42">
        <v>4.03</v>
      </c>
      <c r="E13" s="135">
        <v>6.3</v>
      </c>
      <c r="F13" s="21"/>
      <c r="G13" s="22"/>
      <c r="H13" s="67"/>
      <c r="I13" s="23"/>
      <c r="J13" s="24"/>
      <c r="K13" s="25"/>
      <c r="L13" s="68"/>
      <c r="M13" s="26"/>
      <c r="N13" s="21"/>
      <c r="O13" s="22"/>
      <c r="P13" s="82"/>
      <c r="Q13" s="27"/>
      <c r="R13" s="24"/>
      <c r="S13" s="25"/>
      <c r="T13" s="28"/>
      <c r="U13" s="31"/>
      <c r="V13" s="21">
        <v>0.66236060732317736</v>
      </c>
      <c r="W13" s="29">
        <v>10.7</v>
      </c>
      <c r="X13" s="67">
        <f>(V13-0.01*W13)/W13</f>
        <v>5.1902860497493215E-2</v>
      </c>
      <c r="Y13" s="23">
        <f xml:space="preserve"> LOG(X13*1000)</f>
        <v>1.7151912935718312</v>
      </c>
      <c r="Z13" s="24">
        <v>0.19559283812480455</v>
      </c>
      <c r="AA13" s="30">
        <v>1.86</v>
      </c>
      <c r="AB13" s="68">
        <f>(Z13-0.01*AA13)/AA13</f>
        <v>9.5157439852045445E-2</v>
      </c>
      <c r="AC13" s="26">
        <f xml:space="preserve"> LOG(AB13*1000)</f>
        <v>1.9784427491167389</v>
      </c>
      <c r="AD13" s="21"/>
      <c r="AE13" s="22"/>
      <c r="AF13" s="21"/>
      <c r="AG13" s="23"/>
      <c r="AH13" s="24"/>
      <c r="AI13" s="25"/>
      <c r="AJ13" s="24"/>
      <c r="AK13" s="26"/>
      <c r="AL13" s="21"/>
      <c r="AM13" s="22"/>
      <c r="AN13" s="21"/>
      <c r="AO13" s="23"/>
      <c r="AP13" s="24">
        <v>0.37136715414299093</v>
      </c>
      <c r="AQ13" s="30">
        <v>0.51</v>
      </c>
      <c r="AR13" s="68">
        <f>(AP13-0.01*AQ13)/AQ13</f>
        <v>0.71817089047645277</v>
      </c>
      <c r="AS13" s="26">
        <f xml:space="preserve"> LOG(AR13*1000)</f>
        <v>2.8562277979473163</v>
      </c>
      <c r="AT13" s="21">
        <v>2.4341427809247049</v>
      </c>
      <c r="AU13" s="29">
        <v>31.54</v>
      </c>
      <c r="AV13" s="67">
        <f t="shared" si="0"/>
        <v>6.7176372255063579E-2</v>
      </c>
      <c r="AW13" s="23">
        <f t="shared" si="1"/>
        <v>1.827216546809185</v>
      </c>
      <c r="AX13" s="24"/>
      <c r="AY13" s="25"/>
      <c r="AZ13" s="24"/>
      <c r="BA13" s="26"/>
      <c r="BB13" s="21">
        <v>2.862251658371159</v>
      </c>
      <c r="BC13" s="29">
        <v>2.11</v>
      </c>
      <c r="BD13" s="67">
        <f>(BB13-0.01*BC13)/BC13</f>
        <v>1.3465173736356204</v>
      </c>
      <c r="BE13" s="23">
        <f xml:space="preserve"> LOG(BD13*1000)</f>
        <v>3.1292119613311931</v>
      </c>
      <c r="BF13" s="24"/>
      <c r="BG13" s="25"/>
      <c r="BH13" s="24"/>
      <c r="BI13" s="26"/>
      <c r="BJ13" s="37"/>
      <c r="BK13" s="66">
        <v>10</v>
      </c>
      <c r="BL13" s="34"/>
      <c r="BM13" s="35"/>
      <c r="BN13" s="35"/>
      <c r="BO13" s="35"/>
      <c r="BP13" s="35"/>
      <c r="BQ13" s="35"/>
      <c r="BR13" s="35"/>
      <c r="BS13" s="35"/>
      <c r="BT13" s="35"/>
      <c r="BU13" s="35"/>
      <c r="BV13" s="35"/>
      <c r="BW13" s="35"/>
      <c r="BX13" s="35"/>
      <c r="BY13" s="35"/>
      <c r="BZ13" s="35"/>
      <c r="CA13" s="35"/>
      <c r="CB13" s="35"/>
      <c r="CC13" s="35"/>
      <c r="CD13" s="35"/>
      <c r="CE13" s="35"/>
      <c r="CF13" s="35"/>
      <c r="CG13" s="35"/>
      <c r="CH13" s="35"/>
      <c r="CI13" s="35"/>
      <c r="CJ13" s="35"/>
      <c r="CK13" s="35"/>
      <c r="CL13" s="35"/>
      <c r="CM13" s="35"/>
      <c r="CN13" s="35"/>
      <c r="CO13" s="35"/>
      <c r="CP13" s="35"/>
      <c r="CQ13" s="35"/>
      <c r="CR13" s="35"/>
      <c r="CS13" s="35"/>
      <c r="CT13" s="35"/>
      <c r="CU13" s="35"/>
      <c r="CV13" s="35"/>
      <c r="CW13" s="35"/>
      <c r="CX13" s="35"/>
      <c r="CY13" s="35"/>
    </row>
    <row r="14" spans="1:103" s="36" customFormat="1" ht="12" x14ac:dyDescent="0.3">
      <c r="A14" s="43" t="s">
        <v>29</v>
      </c>
      <c r="B14" s="49" t="s">
        <v>122</v>
      </c>
      <c r="C14" s="60">
        <v>10.591434239677845</v>
      </c>
      <c r="D14" s="42">
        <v>3.48</v>
      </c>
      <c r="E14" s="135">
        <v>7.1</v>
      </c>
      <c r="F14" s="21"/>
      <c r="G14" s="22"/>
      <c r="H14" s="67"/>
      <c r="I14" s="23"/>
      <c r="J14" s="24"/>
      <c r="K14" s="25"/>
      <c r="L14" s="68"/>
      <c r="M14" s="26"/>
      <c r="N14" s="21"/>
      <c r="O14" s="22"/>
      <c r="P14" s="38"/>
      <c r="Q14" s="27"/>
      <c r="R14" s="24"/>
      <c r="S14" s="25"/>
      <c r="T14" s="28"/>
      <c r="U14" s="31"/>
      <c r="V14" s="21">
        <v>0.38490230656348179</v>
      </c>
      <c r="W14" s="29">
        <v>28.9</v>
      </c>
      <c r="X14" s="82">
        <f>(V14-0.01*W14)/W14</f>
        <v>3.3184189122312047E-3</v>
      </c>
      <c r="Y14" s="23">
        <f xml:space="preserve"> LOG(X14*1000)</f>
        <v>0.5209312098337805</v>
      </c>
      <c r="Z14" s="24"/>
      <c r="AA14" s="30"/>
      <c r="AB14" s="101"/>
      <c r="AC14" s="26"/>
      <c r="AD14" s="21"/>
      <c r="AE14" s="22"/>
      <c r="AF14" s="21"/>
      <c r="AG14" s="23"/>
      <c r="AH14" s="24"/>
      <c r="AI14" s="25"/>
      <c r="AJ14" s="24"/>
      <c r="AK14" s="26"/>
      <c r="AL14" s="21">
        <v>1.1556289989190662</v>
      </c>
      <c r="AM14" s="29">
        <v>57.11</v>
      </c>
      <c r="AN14" s="67">
        <f>(AL14-0.01*AM14)/AM14</f>
        <v>1.0235142688129332E-2</v>
      </c>
      <c r="AO14" s="23">
        <f xml:space="preserve"> LOG(AN14*1000)</f>
        <v>1.0100939015403172</v>
      </c>
      <c r="AP14" s="24">
        <v>0.35003566583658635</v>
      </c>
      <c r="AQ14" s="30">
        <v>0.65</v>
      </c>
      <c r="AR14" s="68">
        <f>(AP14-0.01*AQ14)/AQ14</f>
        <v>0.52851640897936358</v>
      </c>
      <c r="AS14" s="26">
        <f xml:space="preserve"> LOG(AR14*1000)</f>
        <v>2.7230584755007086</v>
      </c>
      <c r="AT14" s="21">
        <v>2.1817831202108411</v>
      </c>
      <c r="AU14" s="29">
        <v>123.94</v>
      </c>
      <c r="AV14" s="67">
        <f t="shared" si="0"/>
        <v>7.6035430063808376E-3</v>
      </c>
      <c r="AW14" s="62">
        <f t="shared" si="1"/>
        <v>0.88101600669797742</v>
      </c>
      <c r="AX14" s="24">
        <v>3.7606520247676407</v>
      </c>
      <c r="AY14" s="30">
        <v>71.739999999999995</v>
      </c>
      <c r="AZ14" s="68">
        <f>(AX14-0.01*AY14)/AY14</f>
        <v>4.2420574641310854E-2</v>
      </c>
      <c r="BA14" s="143">
        <f xml:space="preserve"> LOG(AZ14*1000)</f>
        <v>1.6275765472984129</v>
      </c>
      <c r="BB14" s="21">
        <v>1.1228852229235682</v>
      </c>
      <c r="BC14" s="29">
        <v>6.01</v>
      </c>
      <c r="BD14" s="67">
        <f>(BB14-0.01*BC14)/BC14</f>
        <v>0.17683614358129254</v>
      </c>
      <c r="BE14" s="23">
        <f xml:space="preserve"> LOG(BD14*1000)</f>
        <v>2.2475710353017702</v>
      </c>
      <c r="BF14" s="24">
        <v>0.9169567272519501</v>
      </c>
      <c r="BG14" s="30">
        <v>2.95</v>
      </c>
      <c r="BH14" s="68">
        <f>(BF14-0.01*BG14)/BG14</f>
        <v>0.30083278889896614</v>
      </c>
      <c r="BI14" s="26">
        <f xml:space="preserve"> LOG(BH14*1000)</f>
        <v>2.47832516989109</v>
      </c>
      <c r="BJ14" s="47"/>
      <c r="BK14" s="66">
        <v>10</v>
      </c>
      <c r="BL14" s="34"/>
      <c r="BM14" s="35"/>
      <c r="BN14" s="35"/>
      <c r="BO14" s="35"/>
      <c r="BP14" s="35"/>
      <c r="BQ14" s="35"/>
      <c r="BR14" s="35"/>
      <c r="BS14" s="35"/>
      <c r="BT14" s="35"/>
      <c r="BU14" s="35"/>
      <c r="BV14" s="35"/>
      <c r="BW14" s="35"/>
      <c r="BX14" s="35"/>
      <c r="BY14" s="35"/>
      <c r="BZ14" s="35"/>
      <c r="CA14" s="35"/>
      <c r="CB14" s="35"/>
      <c r="CC14" s="35"/>
      <c r="CD14" s="35"/>
      <c r="CE14" s="35"/>
      <c r="CF14" s="35"/>
      <c r="CG14" s="35"/>
      <c r="CH14" s="35"/>
      <c r="CI14" s="35"/>
      <c r="CJ14" s="35"/>
      <c r="CK14" s="35"/>
      <c r="CL14" s="35"/>
      <c r="CM14" s="35"/>
      <c r="CN14" s="35"/>
      <c r="CO14" s="35"/>
      <c r="CP14" s="35"/>
      <c r="CQ14" s="35"/>
      <c r="CR14" s="35"/>
      <c r="CS14" s="35"/>
      <c r="CT14" s="35"/>
      <c r="CU14" s="35"/>
      <c r="CV14" s="35"/>
      <c r="CW14" s="35"/>
      <c r="CX14" s="35"/>
      <c r="CY14" s="35"/>
    </row>
    <row r="15" spans="1:103" s="35" customFormat="1" ht="12" x14ac:dyDescent="0.3">
      <c r="A15" s="43" t="s">
        <v>30</v>
      </c>
      <c r="B15" s="49" t="s">
        <v>123</v>
      </c>
      <c r="C15" s="60">
        <v>2.0211422339408722</v>
      </c>
      <c r="D15" s="42">
        <v>3.67</v>
      </c>
      <c r="E15" s="135">
        <v>5.8</v>
      </c>
      <c r="F15" s="21"/>
      <c r="G15" s="22"/>
      <c r="H15" s="67"/>
      <c r="I15" s="23"/>
      <c r="J15" s="24"/>
      <c r="K15" s="25"/>
      <c r="L15" s="68"/>
      <c r="M15" s="26"/>
      <c r="N15" s="21"/>
      <c r="O15" s="22"/>
      <c r="P15" s="38"/>
      <c r="Q15" s="27"/>
      <c r="R15" s="24"/>
      <c r="S15" s="25"/>
      <c r="T15" s="28"/>
      <c r="U15" s="31"/>
      <c r="V15" s="21"/>
      <c r="W15" s="22"/>
      <c r="X15" s="67"/>
      <c r="Y15" s="23"/>
      <c r="Z15" s="24"/>
      <c r="AA15" s="25"/>
      <c r="AB15" s="68"/>
      <c r="AC15" s="26"/>
      <c r="AD15" s="21"/>
      <c r="AE15" s="22"/>
      <c r="AF15" s="21"/>
      <c r="AG15" s="23"/>
      <c r="AH15" s="24"/>
      <c r="AI15" s="25"/>
      <c r="AJ15" s="24"/>
      <c r="AK15" s="26"/>
      <c r="AL15" s="21"/>
      <c r="AM15" s="22"/>
      <c r="AN15" s="21"/>
      <c r="AO15" s="23"/>
      <c r="AP15" s="24"/>
      <c r="AQ15" s="25"/>
      <c r="AR15" s="24"/>
      <c r="AS15" s="26"/>
      <c r="AT15" s="21">
        <v>0.34552346556111319</v>
      </c>
      <c r="AU15" s="29">
        <v>2.41</v>
      </c>
      <c r="AV15" s="67">
        <f t="shared" si="0"/>
        <v>0.13337073259797227</v>
      </c>
      <c r="AW15" s="23">
        <f t="shared" si="1"/>
        <v>2.1250605367339164</v>
      </c>
      <c r="AX15" s="24"/>
      <c r="AY15" s="25"/>
      <c r="AZ15" s="24"/>
      <c r="BA15" s="26"/>
      <c r="BB15" s="21"/>
      <c r="BC15" s="22"/>
      <c r="BD15" s="21"/>
      <c r="BE15" s="23"/>
      <c r="BF15" s="24"/>
      <c r="BG15" s="25"/>
      <c r="BH15" s="24"/>
      <c r="BI15" s="26"/>
      <c r="BJ15" s="37"/>
      <c r="BK15" s="66">
        <v>10</v>
      </c>
      <c r="BL15" s="34"/>
    </row>
    <row r="16" spans="1:103" s="35" customFormat="1" ht="12" x14ac:dyDescent="0.3">
      <c r="A16" s="43" t="s">
        <v>32</v>
      </c>
      <c r="B16" s="49" t="s">
        <v>124</v>
      </c>
      <c r="C16" s="60">
        <v>5.0770807801487496</v>
      </c>
      <c r="D16" s="42">
        <v>1.6</v>
      </c>
      <c r="E16" s="135">
        <v>7.3</v>
      </c>
      <c r="F16" s="21"/>
      <c r="G16" s="22"/>
      <c r="H16" s="67"/>
      <c r="I16" s="23"/>
      <c r="J16" s="24"/>
      <c r="K16" s="25"/>
      <c r="L16" s="68"/>
      <c r="M16" s="26"/>
      <c r="N16" s="21"/>
      <c r="O16" s="22"/>
      <c r="P16" s="38"/>
      <c r="Q16" s="27"/>
      <c r="R16" s="24"/>
      <c r="S16" s="25"/>
      <c r="T16" s="28"/>
      <c r="U16" s="31"/>
      <c r="V16" s="21">
        <v>0.37932893385537747</v>
      </c>
      <c r="W16" s="29">
        <v>0.83</v>
      </c>
      <c r="X16" s="67">
        <f>(V16-0.01*W16)/W16</f>
        <v>0.44702281187394882</v>
      </c>
      <c r="Y16" s="23">
        <f xml:space="preserve"> LOG(X16*1000)</f>
        <v>2.6503296860361676</v>
      </c>
      <c r="Z16" s="24">
        <v>0.21347608110258365</v>
      </c>
      <c r="AA16" s="30">
        <v>7.46</v>
      </c>
      <c r="AB16" s="68">
        <f>(Z16-0.01*AA16)/AA16</f>
        <v>1.8616096662544726E-2</v>
      </c>
      <c r="AC16" s="26">
        <f xml:space="preserve"> LOG(AB16*1000)</f>
        <v>1.2698886253227641</v>
      </c>
      <c r="AD16" s="21"/>
      <c r="AE16" s="22"/>
      <c r="AF16" s="21"/>
      <c r="AG16" s="23"/>
      <c r="AH16" s="24"/>
      <c r="AI16" s="25"/>
      <c r="AJ16" s="24"/>
      <c r="AK16" s="26"/>
      <c r="AL16" s="21">
        <v>0.33477099687076106</v>
      </c>
      <c r="AM16" s="29">
        <v>0.47</v>
      </c>
      <c r="AN16" s="67">
        <f>(AL16-0.01*AM16)/AM16</f>
        <v>0.70227871674630016</v>
      </c>
      <c r="AO16" s="23">
        <f xml:space="preserve"> LOG(AN16*1000)</f>
        <v>2.8465095068903015</v>
      </c>
      <c r="AP16" s="24"/>
      <c r="AQ16" s="25"/>
      <c r="AR16" s="24"/>
      <c r="AS16" s="26"/>
      <c r="AT16" s="21">
        <v>0.44078293313751971</v>
      </c>
      <c r="AU16" s="29">
        <v>4.8</v>
      </c>
      <c r="AV16" s="67">
        <f t="shared" si="0"/>
        <v>8.1829777736983272E-2</v>
      </c>
      <c r="AW16" s="23">
        <f t="shared" si="1"/>
        <v>1.9129113715630848</v>
      </c>
      <c r="AX16" s="24"/>
      <c r="AY16" s="25"/>
      <c r="AZ16" s="24"/>
      <c r="BA16" s="26"/>
      <c r="BB16" s="21"/>
      <c r="BC16" s="22"/>
      <c r="BD16" s="21"/>
      <c r="BE16" s="23"/>
      <c r="BF16" s="24"/>
      <c r="BG16" s="25"/>
      <c r="BH16" s="24"/>
      <c r="BI16" s="26"/>
      <c r="BJ16" s="37"/>
      <c r="BK16" s="66">
        <v>10</v>
      </c>
      <c r="BL16" s="34"/>
    </row>
    <row r="17" spans="1:103" s="36" customFormat="1" ht="12" x14ac:dyDescent="0.3">
      <c r="A17" s="43" t="s">
        <v>33</v>
      </c>
      <c r="B17" s="49" t="s">
        <v>125</v>
      </c>
      <c r="C17" s="60">
        <v>1.8444671408599387</v>
      </c>
      <c r="D17" s="42">
        <v>2.5</v>
      </c>
      <c r="E17" s="135">
        <v>6.1</v>
      </c>
      <c r="F17" s="21"/>
      <c r="G17" s="22"/>
      <c r="H17" s="67"/>
      <c r="I17" s="23"/>
      <c r="J17" s="24"/>
      <c r="K17" s="25"/>
      <c r="L17" s="68"/>
      <c r="M17" s="26"/>
      <c r="N17" s="21">
        <v>5.9965549369410662E-2</v>
      </c>
      <c r="O17" s="29">
        <v>5.3504914014099096</v>
      </c>
      <c r="P17" s="82">
        <f>(N17-0.01*O17)/O17</f>
        <v>1.2074844851837571E-3</v>
      </c>
      <c r="Q17" s="27">
        <f xml:space="preserve"> LOG(P17*1000)</f>
        <v>8.1881559264237402E-2</v>
      </c>
      <c r="R17" s="24"/>
      <c r="S17" s="25"/>
      <c r="T17" s="28"/>
      <c r="U17" s="31"/>
      <c r="V17" s="21"/>
      <c r="W17" s="22"/>
      <c r="X17" s="67"/>
      <c r="Y17" s="23"/>
      <c r="Z17" s="24"/>
      <c r="AA17" s="25"/>
      <c r="AB17" s="68"/>
      <c r="AC17" s="26"/>
      <c r="AD17" s="21"/>
      <c r="AE17" s="22"/>
      <c r="AF17" s="21"/>
      <c r="AG17" s="23"/>
      <c r="AH17" s="24"/>
      <c r="AI17" s="25"/>
      <c r="AJ17" s="24"/>
      <c r="AK17" s="26"/>
      <c r="AL17" s="21"/>
      <c r="AM17" s="22"/>
      <c r="AN17" s="21"/>
      <c r="AO17" s="23"/>
      <c r="AP17" s="24">
        <v>0.34201470927684752</v>
      </c>
      <c r="AQ17" s="30">
        <v>0.47281747759917403</v>
      </c>
      <c r="AR17" s="68">
        <f>(AP17-0.01*AQ17)/AQ17</f>
        <v>0.71335462515788561</v>
      </c>
      <c r="AS17" s="26">
        <f xml:space="preserve"> LOG(AR17*1000)</f>
        <v>2.8533054814107146</v>
      </c>
      <c r="AT17" s="21">
        <v>0.23958666195960249</v>
      </c>
      <c r="AU17" s="29">
        <v>2.98</v>
      </c>
      <c r="AV17" s="67">
        <f t="shared" si="0"/>
        <v>7.0398208711276E-2</v>
      </c>
      <c r="AW17" s="23">
        <f t="shared" si="1"/>
        <v>1.8475616086207243</v>
      </c>
      <c r="AX17" s="24"/>
      <c r="AY17" s="25"/>
      <c r="AZ17" s="24"/>
      <c r="BA17" s="26"/>
      <c r="BB17" s="21"/>
      <c r="BC17" s="22"/>
      <c r="BD17" s="21"/>
      <c r="BE17" s="23"/>
      <c r="BF17" s="24"/>
      <c r="BG17" s="25"/>
      <c r="BH17" s="24"/>
      <c r="BI17" s="26"/>
      <c r="BJ17" s="37"/>
      <c r="BK17" s="66">
        <v>10</v>
      </c>
      <c r="BL17" s="34"/>
      <c r="BM17" s="35"/>
      <c r="BN17" s="35"/>
      <c r="BO17" s="35"/>
      <c r="BP17" s="35"/>
      <c r="BQ17" s="35"/>
      <c r="BR17" s="35"/>
      <c r="BS17" s="35"/>
      <c r="BT17" s="35"/>
      <c r="BU17" s="35"/>
      <c r="BV17" s="35"/>
      <c r="BW17" s="35"/>
      <c r="BX17" s="35"/>
      <c r="BY17" s="35"/>
      <c r="BZ17" s="35"/>
      <c r="CA17" s="35"/>
      <c r="CB17" s="35"/>
      <c r="CC17" s="35"/>
      <c r="CD17" s="35"/>
      <c r="CE17" s="35"/>
      <c r="CF17" s="35"/>
      <c r="CG17" s="35"/>
      <c r="CH17" s="35"/>
      <c r="CI17" s="35"/>
      <c r="CJ17" s="35"/>
      <c r="CK17" s="35"/>
      <c r="CL17" s="35"/>
      <c r="CM17" s="35"/>
      <c r="CN17" s="35"/>
      <c r="CO17" s="35"/>
      <c r="CP17" s="35"/>
      <c r="CQ17" s="35"/>
      <c r="CR17" s="35"/>
      <c r="CS17" s="35"/>
      <c r="CT17" s="35"/>
      <c r="CU17" s="35"/>
      <c r="CV17" s="35"/>
      <c r="CW17" s="35"/>
      <c r="CX17" s="35"/>
      <c r="CY17" s="35"/>
    </row>
    <row r="18" spans="1:103" s="35" customFormat="1" ht="12" x14ac:dyDescent="0.3">
      <c r="A18" s="43" t="s">
        <v>34</v>
      </c>
      <c r="B18" s="49" t="s">
        <v>126</v>
      </c>
      <c r="C18" s="60">
        <v>6.008543167642042</v>
      </c>
      <c r="D18" s="42">
        <v>4.37</v>
      </c>
      <c r="E18" s="135">
        <v>6.9</v>
      </c>
      <c r="F18" s="21"/>
      <c r="G18" s="22"/>
      <c r="H18" s="67"/>
      <c r="I18" s="23"/>
      <c r="J18" s="24"/>
      <c r="K18" s="25"/>
      <c r="L18" s="68"/>
      <c r="M18" s="26"/>
      <c r="N18" s="21"/>
      <c r="O18" s="22"/>
      <c r="P18" s="38"/>
      <c r="Q18" s="27"/>
      <c r="R18" s="24"/>
      <c r="S18" s="25"/>
      <c r="T18" s="28"/>
      <c r="U18" s="31"/>
      <c r="V18" s="21">
        <v>0.84215891458434999</v>
      </c>
      <c r="W18" s="29">
        <v>42.67</v>
      </c>
      <c r="X18" s="67">
        <f>(V18-0.01*W18)/W18</f>
        <v>9.7365576420049196E-3</v>
      </c>
      <c r="Y18" s="23">
        <f xml:space="preserve"> LOG(X18*1000)</f>
        <v>0.98840543928838775</v>
      </c>
      <c r="Z18" s="24">
        <v>0.25512508718901822</v>
      </c>
      <c r="AA18" s="30">
        <v>20.079999999999998</v>
      </c>
      <c r="AB18" s="83">
        <f>(Z18-0.01*AA18)/AA18</f>
        <v>2.7054326289351715E-3</v>
      </c>
      <c r="AC18" s="26">
        <f xml:space="preserve"> LOG(AB18*1000)</f>
        <v>0.43223672354082515</v>
      </c>
      <c r="AD18" s="21"/>
      <c r="AE18" s="22"/>
      <c r="AF18" s="21"/>
      <c r="AG18" s="23"/>
      <c r="AH18" s="24"/>
      <c r="AI18" s="25"/>
      <c r="AJ18" s="24"/>
      <c r="AK18" s="26"/>
      <c r="AL18" s="21">
        <v>0.72941222257126037</v>
      </c>
      <c r="AM18" s="29">
        <v>5.17</v>
      </c>
      <c r="AN18" s="67">
        <f>(AL18-0.01*AM18)/AM18</f>
        <v>0.13108553628070801</v>
      </c>
      <c r="AO18" s="23">
        <f xml:space="preserve"> LOG(AN18*1000)</f>
        <v>2.1175547751377697</v>
      </c>
      <c r="AP18" s="24"/>
      <c r="AQ18" s="25"/>
      <c r="AR18" s="24"/>
      <c r="AS18" s="26"/>
      <c r="AT18" s="21">
        <v>1.7019665551266183</v>
      </c>
      <c r="AU18" s="29">
        <v>26.35</v>
      </c>
      <c r="AV18" s="67">
        <f t="shared" si="0"/>
        <v>5.4590761105374502E-2</v>
      </c>
      <c r="AW18" s="23">
        <f t="shared" si="1"/>
        <v>1.7371191492896589</v>
      </c>
      <c r="AX18" s="24"/>
      <c r="AY18" s="25"/>
      <c r="AZ18" s="24"/>
      <c r="BA18" s="26"/>
      <c r="BB18" s="21"/>
      <c r="BC18" s="22"/>
      <c r="BD18" s="21"/>
      <c r="BE18" s="23"/>
      <c r="BF18" s="24"/>
      <c r="BG18" s="25"/>
      <c r="BH18" s="24"/>
      <c r="BI18" s="26"/>
      <c r="BJ18" s="37"/>
      <c r="BK18" s="66">
        <v>10</v>
      </c>
      <c r="BL18" s="34"/>
    </row>
    <row r="19" spans="1:103" s="36" customFormat="1" ht="12" x14ac:dyDescent="0.3">
      <c r="A19" s="43" t="s">
        <v>39</v>
      </c>
      <c r="B19" s="49" t="s">
        <v>127</v>
      </c>
      <c r="C19" s="60">
        <v>5.5399530557415835</v>
      </c>
      <c r="D19" s="42">
        <v>3.98</v>
      </c>
      <c r="E19" s="135">
        <v>6.4</v>
      </c>
      <c r="F19" s="21"/>
      <c r="G19" s="22"/>
      <c r="H19" s="67"/>
      <c r="I19" s="23"/>
      <c r="J19" s="24"/>
      <c r="K19" s="25"/>
      <c r="L19" s="68"/>
      <c r="M19" s="26"/>
      <c r="N19" s="21"/>
      <c r="O19" s="22"/>
      <c r="P19" s="38"/>
      <c r="Q19" s="27"/>
      <c r="R19" s="24"/>
      <c r="S19" s="25"/>
      <c r="T19" s="28"/>
      <c r="U19" s="31"/>
      <c r="V19" s="21"/>
      <c r="W19" s="22"/>
      <c r="X19" s="67"/>
      <c r="Y19" s="23"/>
      <c r="Z19" s="24">
        <v>7.6889510269478017E-2</v>
      </c>
      <c r="AA19" s="30">
        <v>1.35</v>
      </c>
      <c r="AB19" s="68">
        <f>(Z19-0.01*AA19)/AA19</f>
        <v>4.695519279220594E-2</v>
      </c>
      <c r="AC19" s="26">
        <f xml:space="preserve"> LOG(AB19*1000)</f>
        <v>1.6716836280460989</v>
      </c>
      <c r="AD19" s="21"/>
      <c r="AE19" s="22"/>
      <c r="AF19" s="21"/>
      <c r="AG19" s="23"/>
      <c r="AH19" s="24"/>
      <c r="AI19" s="25"/>
      <c r="AJ19" s="24"/>
      <c r="AK19" s="26"/>
      <c r="AL19" s="21"/>
      <c r="AM19" s="22"/>
      <c r="AN19" s="21"/>
      <c r="AO19" s="23"/>
      <c r="AP19" s="24"/>
      <c r="AQ19" s="25"/>
      <c r="AR19" s="24"/>
      <c r="AS19" s="26"/>
      <c r="AT19" s="21">
        <v>0.28112078763147663</v>
      </c>
      <c r="AU19" s="29">
        <v>3.71</v>
      </c>
      <c r="AV19" s="67">
        <f t="shared" si="0"/>
        <v>6.577379720524977E-2</v>
      </c>
      <c r="AW19" s="23">
        <f t="shared" si="1"/>
        <v>1.8180529149576785</v>
      </c>
      <c r="AX19" s="24"/>
      <c r="AY19" s="25"/>
      <c r="AZ19" s="24"/>
      <c r="BA19" s="26"/>
      <c r="BB19" s="21"/>
      <c r="BC19" s="22"/>
      <c r="BD19" s="21"/>
      <c r="BE19" s="23"/>
      <c r="BF19" s="24"/>
      <c r="BG19" s="25"/>
      <c r="BH19" s="24"/>
      <c r="BI19" s="26"/>
      <c r="BJ19" s="37"/>
      <c r="BK19" s="66">
        <v>10</v>
      </c>
      <c r="BL19" s="34"/>
      <c r="BM19" s="35"/>
      <c r="BN19" s="35"/>
      <c r="BO19" s="35"/>
      <c r="BP19" s="35"/>
      <c r="BQ19" s="35"/>
      <c r="BR19" s="35"/>
      <c r="BS19" s="35"/>
      <c r="BT19" s="35"/>
      <c r="BU19" s="35"/>
      <c r="BV19" s="35"/>
      <c r="BW19" s="35"/>
      <c r="BX19" s="35"/>
      <c r="BY19" s="35"/>
      <c r="BZ19" s="35"/>
      <c r="CA19" s="35"/>
      <c r="CB19" s="35"/>
      <c r="CC19" s="35"/>
      <c r="CD19" s="35"/>
      <c r="CE19" s="35"/>
      <c r="CF19" s="35"/>
      <c r="CG19" s="35"/>
      <c r="CH19" s="35"/>
      <c r="CI19" s="35"/>
      <c r="CJ19" s="35"/>
      <c r="CK19" s="35"/>
      <c r="CL19" s="35"/>
      <c r="CM19" s="35"/>
      <c r="CN19" s="35"/>
      <c r="CO19" s="35"/>
      <c r="CP19" s="35"/>
      <c r="CQ19" s="35"/>
      <c r="CR19" s="35"/>
      <c r="CS19" s="35"/>
      <c r="CT19" s="35"/>
      <c r="CU19" s="35"/>
      <c r="CV19" s="35"/>
      <c r="CW19" s="35"/>
      <c r="CX19" s="35"/>
      <c r="CY19" s="35"/>
    </row>
    <row r="20" spans="1:103" s="35" customFormat="1" ht="12" x14ac:dyDescent="0.3">
      <c r="A20" s="43" t="s">
        <v>56</v>
      </c>
      <c r="B20" s="49" t="s">
        <v>128</v>
      </c>
      <c r="C20" s="60">
        <v>10.134642903939303</v>
      </c>
      <c r="D20" s="42">
        <v>3.41</v>
      </c>
      <c r="E20" s="135">
        <v>6.9</v>
      </c>
      <c r="F20" s="21">
        <v>1.7641631789055254</v>
      </c>
      <c r="G20" s="29">
        <v>5.3354788339374899</v>
      </c>
      <c r="H20" s="67">
        <f>(F20-0.01*G20)/G20</f>
        <v>0.3206475826844587</v>
      </c>
      <c r="I20" s="23">
        <f xml:space="preserve"> LOG(H20*1000)</f>
        <v>2.5060279701825956</v>
      </c>
      <c r="J20" s="24"/>
      <c r="K20" s="25"/>
      <c r="L20" s="68"/>
      <c r="M20" s="26"/>
      <c r="N20" s="21"/>
      <c r="O20" s="22"/>
      <c r="P20" s="38"/>
      <c r="Q20" s="27"/>
      <c r="R20" s="24"/>
      <c r="S20" s="25"/>
      <c r="T20" s="28"/>
      <c r="U20" s="31"/>
      <c r="V20" s="21">
        <v>0.59147360376979763</v>
      </c>
      <c r="W20" s="29">
        <v>6.5254917453288641</v>
      </c>
      <c r="X20" s="67">
        <f>(V20-0.01*W20)/W20</f>
        <v>8.0640464635204176E-2</v>
      </c>
      <c r="Y20" s="23">
        <f xml:space="preserve"> LOG(X20*1000)</f>
        <v>1.906553021431856</v>
      </c>
      <c r="Z20" s="24">
        <v>0.26578985057843929</v>
      </c>
      <c r="AA20" s="30">
        <v>3.3120050069343012</v>
      </c>
      <c r="AB20" s="68">
        <f>(Z20-0.01*AA20)/AA20</f>
        <v>7.0250437430486548E-2</v>
      </c>
      <c r="AC20" s="26">
        <f xml:space="preserve"> LOG(AB20*1000)</f>
        <v>1.8466490328198941</v>
      </c>
      <c r="AD20" s="21"/>
      <c r="AE20" s="22"/>
      <c r="AF20" s="21"/>
      <c r="AG20" s="23"/>
      <c r="AH20" s="24"/>
      <c r="AI20" s="25"/>
      <c r="AJ20" s="24"/>
      <c r="AK20" s="26"/>
      <c r="AL20" s="21"/>
      <c r="AM20" s="22"/>
      <c r="AN20" s="21"/>
      <c r="AO20" s="23"/>
      <c r="AP20" s="24"/>
      <c r="AQ20" s="25"/>
      <c r="AR20" s="24"/>
      <c r="AS20" s="26"/>
      <c r="AT20" s="21">
        <v>0.94765791326820326</v>
      </c>
      <c r="AU20" s="29">
        <v>7.1008070725088706</v>
      </c>
      <c r="AV20" s="67">
        <f t="shared" si="0"/>
        <v>0.1234577750939197</v>
      </c>
      <c r="AW20" s="23">
        <f t="shared" si="1"/>
        <v>2.091518446022147</v>
      </c>
      <c r="AX20" s="24"/>
      <c r="AY20" s="25"/>
      <c r="AZ20" s="24"/>
      <c r="BA20" s="26"/>
      <c r="BB20" s="21"/>
      <c r="BC20" s="22"/>
      <c r="BD20" s="21"/>
      <c r="BE20" s="23"/>
      <c r="BF20" s="24"/>
      <c r="BG20" s="25"/>
      <c r="BH20" s="24"/>
      <c r="BI20" s="26"/>
      <c r="BJ20" s="37"/>
      <c r="BK20" s="66">
        <v>10</v>
      </c>
      <c r="BL20" s="34"/>
    </row>
    <row r="21" spans="1:103" s="35" customFormat="1" ht="12" x14ac:dyDescent="0.3">
      <c r="A21" s="43" t="s">
        <v>58</v>
      </c>
      <c r="B21" s="49" t="s">
        <v>129</v>
      </c>
      <c r="C21" s="60">
        <v>8.976199198948942</v>
      </c>
      <c r="D21" s="42">
        <v>10.84</v>
      </c>
      <c r="E21" s="135">
        <v>7</v>
      </c>
      <c r="F21" s="21"/>
      <c r="G21" s="22"/>
      <c r="H21" s="67"/>
      <c r="I21" s="23"/>
      <c r="J21" s="24">
        <v>4.6540659939474178</v>
      </c>
      <c r="K21" s="30">
        <v>17.075400907328095</v>
      </c>
      <c r="L21" s="68">
        <f>(J21-0.01*K21)/K21</f>
        <v>0.26255969093821241</v>
      </c>
      <c r="M21" s="26">
        <f xml:space="preserve"> LOG(L21*1000)</f>
        <v>2.4192280524966936</v>
      </c>
      <c r="N21" s="21">
        <v>0.23119925355092397</v>
      </c>
      <c r="O21" s="29">
        <v>5.3827623232966975</v>
      </c>
      <c r="P21" s="82">
        <f>(N21-0.01*O21)/O21</f>
        <v>3.295178565664867E-2</v>
      </c>
      <c r="Q21" s="27">
        <f xml:space="preserve"> LOG(P21*1000)</f>
        <v>1.517878953977571</v>
      </c>
      <c r="R21" s="24"/>
      <c r="S21" s="25"/>
      <c r="T21" s="28"/>
      <c r="U21" s="31"/>
      <c r="V21" s="21"/>
      <c r="W21" s="22"/>
      <c r="X21" s="67"/>
      <c r="Y21" s="23"/>
      <c r="Z21" s="24"/>
      <c r="AA21" s="25"/>
      <c r="AB21" s="68"/>
      <c r="AC21" s="26"/>
      <c r="AD21" s="21"/>
      <c r="AE21" s="22"/>
      <c r="AF21" s="21"/>
      <c r="AG21" s="23"/>
      <c r="AH21" s="24"/>
      <c r="AI21" s="25"/>
      <c r="AJ21" s="24"/>
      <c r="AK21" s="26"/>
      <c r="AL21" s="21"/>
      <c r="AM21" s="22"/>
      <c r="AN21" s="21"/>
      <c r="AO21" s="23"/>
      <c r="AP21" s="24"/>
      <c r="AQ21" s="25"/>
      <c r="AR21" s="24"/>
      <c r="AS21" s="26"/>
      <c r="AT21" s="21"/>
      <c r="AU21" s="22"/>
      <c r="AV21" s="67"/>
      <c r="AW21" s="23"/>
      <c r="AX21" s="24"/>
      <c r="AY21" s="25"/>
      <c r="AZ21" s="24"/>
      <c r="BA21" s="26"/>
      <c r="BB21" s="21"/>
      <c r="BC21" s="22"/>
      <c r="BD21" s="21"/>
      <c r="BE21" s="23"/>
      <c r="BF21" s="24"/>
      <c r="BG21" s="25"/>
      <c r="BH21" s="24"/>
      <c r="BI21" s="26"/>
      <c r="BJ21" s="37"/>
      <c r="BK21" s="66">
        <v>10</v>
      </c>
      <c r="BL21" s="34"/>
    </row>
    <row r="22" spans="1:103" s="36" customFormat="1" ht="12" x14ac:dyDescent="0.3">
      <c r="A22" s="43" t="s">
        <v>65</v>
      </c>
      <c r="B22" s="49" t="s">
        <v>130</v>
      </c>
      <c r="C22" s="60">
        <v>3.7882999577392757</v>
      </c>
      <c r="D22" s="42">
        <v>6.08</v>
      </c>
      <c r="E22" s="135">
        <v>7</v>
      </c>
      <c r="F22" s="21"/>
      <c r="G22" s="22"/>
      <c r="H22" s="67"/>
      <c r="I22" s="23"/>
      <c r="J22" s="24"/>
      <c r="K22" s="25"/>
      <c r="L22" s="68"/>
      <c r="M22" s="26"/>
      <c r="N22" s="21">
        <v>9.8469306163250711E-2</v>
      </c>
      <c r="O22" s="145">
        <v>3.2902619052716933</v>
      </c>
      <c r="P22" s="82">
        <f>(N22-0.01*O22)/O22</f>
        <v>1.9927497870452841E-2</v>
      </c>
      <c r="Q22" s="27">
        <f xml:space="preserve"> LOG(P22*1000)</f>
        <v>1.299452771391207</v>
      </c>
      <c r="R22" s="24"/>
      <c r="S22" s="25"/>
      <c r="T22" s="28"/>
      <c r="U22" s="31"/>
      <c r="V22" s="21"/>
      <c r="W22" s="22"/>
      <c r="X22" s="67"/>
      <c r="Y22" s="23"/>
      <c r="Z22" s="24"/>
      <c r="AA22" s="25"/>
      <c r="AB22" s="68"/>
      <c r="AC22" s="26"/>
      <c r="AD22" s="21"/>
      <c r="AE22" s="22"/>
      <c r="AF22" s="21"/>
      <c r="AG22" s="23"/>
      <c r="AH22" s="24"/>
      <c r="AI22" s="25"/>
      <c r="AJ22" s="24"/>
      <c r="AK22" s="26"/>
      <c r="AL22" s="21"/>
      <c r="AM22" s="22"/>
      <c r="AN22" s="21"/>
      <c r="AO22" s="23"/>
      <c r="AP22" s="24">
        <v>0.44528081777192241</v>
      </c>
      <c r="AQ22" s="30">
        <v>0.6439482636916054</v>
      </c>
      <c r="AR22" s="68">
        <f>(AP22-0.01*AQ22)/AQ22</f>
        <v>0.68148539235004868</v>
      </c>
      <c r="AS22" s="26">
        <f xml:space="preserve"> LOG(AR22*1000)</f>
        <v>2.833456551161508</v>
      </c>
      <c r="AT22" s="21"/>
      <c r="AU22" s="22"/>
      <c r="AV22" s="67"/>
      <c r="AW22" s="23"/>
      <c r="AX22" s="24"/>
      <c r="AY22" s="25"/>
      <c r="AZ22" s="24"/>
      <c r="BA22" s="26"/>
      <c r="BB22" s="21"/>
      <c r="BC22" s="22"/>
      <c r="BD22" s="21"/>
      <c r="BE22" s="23"/>
      <c r="BF22" s="24"/>
      <c r="BG22" s="25"/>
      <c r="BH22" s="24"/>
      <c r="BI22" s="26"/>
      <c r="BJ22" s="37"/>
      <c r="BK22" s="66">
        <v>10</v>
      </c>
      <c r="BL22" s="34"/>
      <c r="BM22" s="35"/>
      <c r="BN22" s="35"/>
      <c r="BO22" s="35"/>
      <c r="BP22" s="35"/>
      <c r="BQ22" s="35"/>
      <c r="BR22" s="35"/>
      <c r="BS22" s="35"/>
      <c r="BT22" s="35"/>
      <c r="BU22" s="35"/>
      <c r="BV22" s="35"/>
      <c r="BW22" s="35"/>
      <c r="BX22" s="35"/>
      <c r="BY22" s="35"/>
      <c r="BZ22" s="35"/>
      <c r="CA22" s="35"/>
      <c r="CB22" s="35"/>
      <c r="CC22" s="35"/>
      <c r="CD22" s="35"/>
      <c r="CE22" s="35"/>
      <c r="CF22" s="35"/>
      <c r="CG22" s="35"/>
      <c r="CH22" s="35"/>
      <c r="CI22" s="35"/>
      <c r="CJ22" s="35"/>
      <c r="CK22" s="35"/>
      <c r="CL22" s="35"/>
      <c r="CM22" s="35"/>
      <c r="CN22" s="35"/>
      <c r="CO22" s="35"/>
      <c r="CP22" s="35"/>
      <c r="CQ22" s="35"/>
      <c r="CR22" s="35"/>
      <c r="CS22" s="35"/>
      <c r="CT22" s="35"/>
      <c r="CU22" s="35"/>
      <c r="CV22" s="35"/>
      <c r="CW22" s="35"/>
      <c r="CX22" s="35"/>
      <c r="CY22" s="35"/>
    </row>
    <row r="23" spans="1:103" s="36" customFormat="1" ht="12" x14ac:dyDescent="0.3">
      <c r="A23" s="43" t="s">
        <v>96</v>
      </c>
      <c r="B23" s="49" t="s">
        <v>131</v>
      </c>
      <c r="C23" s="61">
        <v>2.6386899447434353</v>
      </c>
      <c r="D23" s="43">
        <v>3.18</v>
      </c>
      <c r="E23" s="135">
        <v>7</v>
      </c>
      <c r="F23" s="21"/>
      <c r="G23" s="22"/>
      <c r="H23" s="67"/>
      <c r="I23" s="23"/>
      <c r="J23" s="24"/>
      <c r="K23" s="25"/>
      <c r="L23" s="68"/>
      <c r="M23" s="26"/>
      <c r="N23" s="21"/>
      <c r="O23" s="22"/>
      <c r="P23" s="82"/>
      <c r="Q23" s="27"/>
      <c r="R23" s="24"/>
      <c r="S23" s="25"/>
      <c r="T23" s="28"/>
      <c r="U23" s="31"/>
      <c r="V23" s="21">
        <v>0.33801415246062272</v>
      </c>
      <c r="W23" s="29">
        <v>4.3425924889765462</v>
      </c>
      <c r="X23" s="67">
        <f>(V23-0.01*W23)/W23</f>
        <v>6.7836949545382094E-2</v>
      </c>
      <c r="Y23" s="23">
        <f xml:space="preserve"> LOG(X23*1000)</f>
        <v>1.8314663105724525</v>
      </c>
      <c r="Z23" s="24">
        <v>0.11751661018468182</v>
      </c>
      <c r="AA23" s="30">
        <v>0.89461063338770286</v>
      </c>
      <c r="AB23" s="68">
        <f>(Z23-0.01*AA23)/AA23</f>
        <v>0.1213606230452136</v>
      </c>
      <c r="AC23" s="26">
        <f xml:space="preserve"> LOG(AB23*1000)</f>
        <v>2.0840777973798907</v>
      </c>
      <c r="AD23" s="21"/>
      <c r="AE23" s="22"/>
      <c r="AF23" s="21"/>
      <c r="AG23" s="23"/>
      <c r="AH23" s="24"/>
      <c r="AI23" s="25"/>
      <c r="AJ23" s="24"/>
      <c r="AK23" s="26"/>
      <c r="AL23" s="21"/>
      <c r="AM23" s="22"/>
      <c r="AN23" s="21"/>
      <c r="AO23" s="23"/>
      <c r="AP23" s="24"/>
      <c r="AQ23" s="25"/>
      <c r="AR23" s="68"/>
      <c r="AS23" s="26"/>
      <c r="AT23" s="21">
        <v>0.46965269852666369</v>
      </c>
      <c r="AU23" s="29">
        <v>0.7125199253684098</v>
      </c>
      <c r="AV23" s="67">
        <f>(AT23-0.01*AU23)/AU23</f>
        <v>0.64914324891872865</v>
      </c>
      <c r="AW23" s="23">
        <f xml:space="preserve"> LOG(AV23*1000)</f>
        <v>2.8123405447974941</v>
      </c>
      <c r="AX23" s="24"/>
      <c r="AY23" s="25"/>
      <c r="AZ23" s="24"/>
      <c r="BA23" s="26"/>
      <c r="BB23" s="21"/>
      <c r="BC23" s="22"/>
      <c r="BD23" s="21"/>
      <c r="BE23" s="23"/>
      <c r="BF23" s="24"/>
      <c r="BG23" s="25"/>
      <c r="BH23" s="24"/>
      <c r="BI23" s="26"/>
      <c r="BJ23" s="37"/>
      <c r="BK23" s="66">
        <v>10</v>
      </c>
      <c r="BL23" s="34"/>
      <c r="BM23" s="35"/>
      <c r="BN23" s="35"/>
      <c r="BO23" s="35"/>
      <c r="BP23" s="35"/>
      <c r="BQ23" s="35"/>
      <c r="BR23" s="35"/>
      <c r="BS23" s="35"/>
      <c r="BT23" s="35"/>
      <c r="BU23" s="35"/>
      <c r="BV23" s="35"/>
      <c r="BW23" s="35"/>
      <c r="BX23" s="35"/>
      <c r="BY23" s="35"/>
      <c r="BZ23" s="35"/>
      <c r="CA23" s="35"/>
      <c r="CB23" s="35"/>
      <c r="CC23" s="35"/>
      <c r="CD23" s="35"/>
      <c r="CE23" s="35"/>
      <c r="CF23" s="35"/>
      <c r="CG23" s="35"/>
      <c r="CH23" s="35"/>
      <c r="CI23" s="35"/>
      <c r="CJ23" s="35"/>
      <c r="CK23" s="35"/>
      <c r="CL23" s="35"/>
      <c r="CM23" s="35"/>
      <c r="CN23" s="35"/>
      <c r="CO23" s="35"/>
      <c r="CP23" s="35"/>
      <c r="CQ23" s="35"/>
      <c r="CR23" s="35"/>
      <c r="CS23" s="35"/>
      <c r="CT23" s="35"/>
      <c r="CU23" s="35"/>
      <c r="CV23" s="35"/>
      <c r="CW23" s="35"/>
      <c r="CX23" s="35"/>
      <c r="CY23" s="35"/>
    </row>
    <row r="24" spans="1:103" s="35" customFormat="1" ht="12" x14ac:dyDescent="0.3">
      <c r="A24" s="43" t="s">
        <v>18</v>
      </c>
      <c r="B24" s="50" t="s">
        <v>132</v>
      </c>
      <c r="C24" s="60">
        <v>24.943683925362286</v>
      </c>
      <c r="D24" s="42">
        <v>4.79</v>
      </c>
      <c r="E24" s="135">
        <v>7.3</v>
      </c>
      <c r="F24" s="21"/>
      <c r="G24" s="22"/>
      <c r="H24" s="67"/>
      <c r="I24" s="23"/>
      <c r="J24" s="24"/>
      <c r="K24" s="25"/>
      <c r="L24" s="68"/>
      <c r="M24" s="26"/>
      <c r="N24" s="21"/>
      <c r="O24" s="22"/>
      <c r="P24" s="38"/>
      <c r="Q24" s="138"/>
      <c r="R24" s="24"/>
      <c r="S24" s="25"/>
      <c r="T24" s="28"/>
      <c r="U24" s="140"/>
      <c r="V24" s="21">
        <v>0.63319628519950377</v>
      </c>
      <c r="W24" s="29">
        <v>1.1200000000000001</v>
      </c>
      <c r="X24" s="67">
        <f>(V24-0.01*W24)/W24</f>
        <v>0.55535382607098549</v>
      </c>
      <c r="Y24" s="23">
        <f xml:space="preserve"> LOG(X24*1000)</f>
        <v>2.7445697682550834</v>
      </c>
      <c r="Z24" s="24">
        <v>0.31213539999505291</v>
      </c>
      <c r="AA24" s="30">
        <v>3.35</v>
      </c>
      <c r="AB24" s="68">
        <f>(Z24-0.01*AA24)/AA24</f>
        <v>8.317474626717998E-2</v>
      </c>
      <c r="AC24" s="26">
        <f xml:space="preserve"> LOG(AB24*1000)</f>
        <v>1.9199914846844526</v>
      </c>
      <c r="AD24" s="21"/>
      <c r="AE24" s="22"/>
      <c r="AF24" s="21"/>
      <c r="AG24" s="141"/>
      <c r="AH24" s="24"/>
      <c r="AI24" s="25"/>
      <c r="AJ24" s="24"/>
      <c r="AK24" s="142"/>
      <c r="AL24" s="21">
        <v>0.99059083459814534</v>
      </c>
      <c r="AM24" s="29">
        <v>4.84</v>
      </c>
      <c r="AN24" s="67">
        <f>(AL24-0.01*AM24)/AM24</f>
        <v>0.19466752780953417</v>
      </c>
      <c r="AO24" s="23">
        <f xml:space="preserve"> LOG(AN24*1000)</f>
        <v>2.2892935135679164</v>
      </c>
      <c r="AP24" s="24"/>
      <c r="AQ24" s="25"/>
      <c r="AR24" s="24"/>
      <c r="AS24" s="142"/>
      <c r="AT24" s="21">
        <v>1.0172015544683188</v>
      </c>
      <c r="AU24" s="29">
        <v>13.23</v>
      </c>
      <c r="AV24" s="67">
        <f>(AT24-0.01*AU24)/AU24</f>
        <v>6.6885982953009737E-2</v>
      </c>
      <c r="AW24" s="23">
        <f xml:space="preserve"> LOG(AV24*1000)</f>
        <v>1.8253351138218439</v>
      </c>
      <c r="AX24" s="24"/>
      <c r="AY24" s="25"/>
      <c r="AZ24" s="24"/>
      <c r="BA24" s="142"/>
      <c r="BB24" s="21">
        <v>4.3889249661276679</v>
      </c>
      <c r="BC24" s="29">
        <v>40.909999999999997</v>
      </c>
      <c r="BD24" s="67">
        <f>(BB24-0.01*BC24)/BC24</f>
        <v>9.7282448450932979E-2</v>
      </c>
      <c r="BE24" s="23">
        <f xml:space="preserve"> LOG(BD24*1000)</f>
        <v>1.9880344925962981</v>
      </c>
      <c r="BF24" s="24"/>
      <c r="BG24" s="25"/>
      <c r="BH24" s="24"/>
      <c r="BI24" s="142"/>
      <c r="BJ24" s="37"/>
      <c r="BK24" s="66">
        <v>10</v>
      </c>
      <c r="BL24" s="34"/>
    </row>
    <row r="25" spans="1:103" s="36" customFormat="1" ht="12" x14ac:dyDescent="0.3">
      <c r="A25" s="43" t="s">
        <v>19</v>
      </c>
      <c r="B25" s="50" t="s">
        <v>133</v>
      </c>
      <c r="C25" s="60">
        <v>2.1490764351222911</v>
      </c>
      <c r="D25" s="42">
        <v>5.32</v>
      </c>
      <c r="E25" s="135">
        <v>7.2</v>
      </c>
      <c r="F25" s="21"/>
      <c r="G25" s="22"/>
      <c r="H25" s="67"/>
      <c r="I25" s="23"/>
      <c r="J25" s="24"/>
      <c r="K25" s="25"/>
      <c r="L25" s="68"/>
      <c r="M25" s="26"/>
      <c r="N25" s="21"/>
      <c r="O25" s="22"/>
      <c r="P25" s="38"/>
      <c r="Q25" s="138"/>
      <c r="R25" s="24"/>
      <c r="S25" s="25"/>
      <c r="T25" s="28"/>
      <c r="U25" s="140"/>
      <c r="V25" s="21"/>
      <c r="W25" s="22"/>
      <c r="X25" s="67"/>
      <c r="Y25" s="23"/>
      <c r="Z25" s="24"/>
      <c r="AA25" s="25"/>
      <c r="AB25" s="68"/>
      <c r="AC25" s="26"/>
      <c r="AD25" s="21"/>
      <c r="AE25" s="22"/>
      <c r="AF25" s="21"/>
      <c r="AG25" s="141"/>
      <c r="AH25" s="24"/>
      <c r="AI25" s="25"/>
      <c r="AJ25" s="24"/>
      <c r="AK25" s="142"/>
      <c r="AL25" s="21"/>
      <c r="AM25" s="22"/>
      <c r="AN25" s="21"/>
      <c r="AO25" s="23"/>
      <c r="AP25" s="24">
        <v>0.36151182950620453</v>
      </c>
      <c r="AQ25" s="30">
        <v>0.49</v>
      </c>
      <c r="AR25" s="68">
        <f>(AP25-0.01*AQ25)/AQ25</f>
        <v>0.72777924389021331</v>
      </c>
      <c r="AS25" s="26">
        <f xml:space="preserve"> LOG(AR25*1000)</f>
        <v>2.8619996654402589</v>
      </c>
      <c r="AT25" s="21"/>
      <c r="AU25" s="22"/>
      <c r="AV25" s="67"/>
      <c r="AW25" s="23"/>
      <c r="AX25" s="24"/>
      <c r="AY25" s="25"/>
      <c r="AZ25" s="24"/>
      <c r="BA25" s="142"/>
      <c r="BB25" s="21"/>
      <c r="BC25" s="22"/>
      <c r="BD25" s="21"/>
      <c r="BE25" s="23"/>
      <c r="BF25" s="24"/>
      <c r="BG25" s="25"/>
      <c r="BH25" s="24"/>
      <c r="BI25" s="142"/>
      <c r="BJ25" s="37"/>
      <c r="BK25" s="66">
        <v>10</v>
      </c>
      <c r="BL25" s="34"/>
      <c r="BM25" s="35"/>
      <c r="BN25" s="35"/>
      <c r="BO25" s="35"/>
      <c r="BP25" s="35"/>
      <c r="BQ25" s="35"/>
      <c r="BR25" s="35"/>
      <c r="BS25" s="35"/>
      <c r="BT25" s="35"/>
      <c r="BU25" s="35"/>
      <c r="BV25" s="35"/>
      <c r="BW25" s="35"/>
      <c r="BX25" s="35"/>
      <c r="BY25" s="35"/>
      <c r="BZ25" s="35"/>
      <c r="CA25" s="35"/>
      <c r="CB25" s="35"/>
      <c r="CC25" s="35"/>
      <c r="CD25" s="35"/>
      <c r="CE25" s="35"/>
      <c r="CF25" s="35"/>
      <c r="CG25" s="35"/>
      <c r="CH25" s="35"/>
      <c r="CI25" s="35"/>
      <c r="CJ25" s="35"/>
      <c r="CK25" s="35"/>
      <c r="CL25" s="35"/>
      <c r="CM25" s="35"/>
      <c r="CN25" s="35"/>
      <c r="CO25" s="35"/>
      <c r="CP25" s="35"/>
      <c r="CQ25" s="35"/>
      <c r="CR25" s="35"/>
      <c r="CS25" s="35"/>
      <c r="CT25" s="35"/>
      <c r="CU25" s="35"/>
      <c r="CV25" s="35"/>
      <c r="CW25" s="35"/>
      <c r="CX25" s="35"/>
      <c r="CY25" s="35"/>
    </row>
    <row r="26" spans="1:103" s="35" customFormat="1" ht="12" x14ac:dyDescent="0.3">
      <c r="A26" s="43" t="s">
        <v>22</v>
      </c>
      <c r="B26" s="50" t="s">
        <v>134</v>
      </c>
      <c r="C26" s="60">
        <v>4.3831288758653404</v>
      </c>
      <c r="D26" s="42">
        <v>5.59</v>
      </c>
      <c r="E26" s="135">
        <v>6.3</v>
      </c>
      <c r="F26" s="21"/>
      <c r="G26" s="22"/>
      <c r="H26" s="67"/>
      <c r="I26" s="23"/>
      <c r="J26" s="24"/>
      <c r="K26" s="25"/>
      <c r="L26" s="68"/>
      <c r="M26" s="26"/>
      <c r="N26" s="21"/>
      <c r="O26" s="22"/>
      <c r="P26" s="82"/>
      <c r="Q26" s="27"/>
      <c r="R26" s="24"/>
      <c r="S26" s="25"/>
      <c r="T26" s="28"/>
      <c r="U26" s="140"/>
      <c r="V26" s="21"/>
      <c r="W26" s="22"/>
      <c r="X26" s="67"/>
      <c r="Y26" s="23"/>
      <c r="Z26" s="24"/>
      <c r="AA26" s="25"/>
      <c r="AB26" s="68"/>
      <c r="AC26" s="26"/>
      <c r="AD26" s="21"/>
      <c r="AE26" s="22"/>
      <c r="AF26" s="21"/>
      <c r="AG26" s="141"/>
      <c r="AH26" s="24"/>
      <c r="AI26" s="25"/>
      <c r="AJ26" s="24"/>
      <c r="AK26" s="142"/>
      <c r="AL26" s="21"/>
      <c r="AM26" s="22"/>
      <c r="AN26" s="21"/>
      <c r="AO26" s="23"/>
      <c r="AP26" s="24">
        <v>0.36117089023636817</v>
      </c>
      <c r="AQ26" s="30">
        <v>1.1299999999999999</v>
      </c>
      <c r="AR26" s="68">
        <f>(AP26-0.01*AQ26)/AQ26</f>
        <v>0.30962025684634359</v>
      </c>
      <c r="AS26" s="26">
        <f xml:space="preserve"> LOG(AR26*1000)</f>
        <v>2.4908293665741503</v>
      </c>
      <c r="AT26" s="21">
        <v>1.0214382666522046</v>
      </c>
      <c r="AU26" s="29">
        <v>2.57</v>
      </c>
      <c r="AV26" s="67">
        <f t="shared" ref="AV26:AV33" si="2">(AT26-0.01*AU26)/AU26</f>
        <v>0.38744679636272555</v>
      </c>
      <c r="AW26" s="23">
        <f t="shared" ref="AW26:AW33" si="3" xml:space="preserve"> LOG(AV26*1000)</f>
        <v>2.5882120742424393</v>
      </c>
      <c r="AX26" s="24"/>
      <c r="AY26" s="25"/>
      <c r="AZ26" s="24"/>
      <c r="BA26" s="26"/>
      <c r="BB26" s="21"/>
      <c r="BC26" s="22"/>
      <c r="BD26" s="21"/>
      <c r="BE26" s="23"/>
      <c r="BF26" s="24"/>
      <c r="BG26" s="25"/>
      <c r="BH26" s="24"/>
      <c r="BI26" s="26"/>
      <c r="BJ26" s="37"/>
      <c r="BK26" s="66">
        <v>10</v>
      </c>
      <c r="BL26" s="34"/>
    </row>
    <row r="27" spans="1:103" s="36" customFormat="1" ht="12" x14ac:dyDescent="0.3">
      <c r="A27" s="43" t="s">
        <v>23</v>
      </c>
      <c r="B27" s="50" t="s">
        <v>135</v>
      </c>
      <c r="C27" s="60">
        <v>12.23335302506824</v>
      </c>
      <c r="D27" s="42">
        <v>5.25</v>
      </c>
      <c r="E27" s="135">
        <v>6.6</v>
      </c>
      <c r="F27" s="21"/>
      <c r="G27" s="22"/>
      <c r="H27" s="67"/>
      <c r="I27" s="23"/>
      <c r="J27" s="24"/>
      <c r="K27" s="25"/>
      <c r="L27" s="68"/>
      <c r="M27" s="26"/>
      <c r="N27" s="21"/>
      <c r="O27" s="22"/>
      <c r="P27" s="82"/>
      <c r="Q27" s="27"/>
      <c r="R27" s="24"/>
      <c r="S27" s="25"/>
      <c r="T27" s="28"/>
      <c r="U27" s="140"/>
      <c r="V27" s="21"/>
      <c r="W27" s="22"/>
      <c r="X27" s="67"/>
      <c r="Y27" s="23"/>
      <c r="Z27" s="24"/>
      <c r="AA27" s="25"/>
      <c r="AB27" s="68"/>
      <c r="AC27" s="26"/>
      <c r="AD27" s="21"/>
      <c r="AE27" s="22"/>
      <c r="AF27" s="21"/>
      <c r="AG27" s="141"/>
      <c r="AH27" s="24"/>
      <c r="AI27" s="25"/>
      <c r="AJ27" s="24"/>
      <c r="AK27" s="142"/>
      <c r="AL27" s="21"/>
      <c r="AM27" s="22"/>
      <c r="AN27" s="21"/>
      <c r="AO27" s="23"/>
      <c r="AP27" s="24"/>
      <c r="AQ27" s="25"/>
      <c r="AR27" s="24"/>
      <c r="AS27" s="26"/>
      <c r="AT27" s="21">
        <v>0.91532237510952785</v>
      </c>
      <c r="AU27" s="29">
        <v>1.58</v>
      </c>
      <c r="AV27" s="67">
        <f t="shared" si="2"/>
        <v>0.56931795893008086</v>
      </c>
      <c r="AW27" s="23">
        <f t="shared" si="3"/>
        <v>2.7553548836907291</v>
      </c>
      <c r="AX27" s="24"/>
      <c r="AY27" s="25"/>
      <c r="AZ27" s="24"/>
      <c r="BA27" s="26"/>
      <c r="BB27" s="21"/>
      <c r="BC27" s="22"/>
      <c r="BD27" s="21"/>
      <c r="BE27" s="23"/>
      <c r="BF27" s="24"/>
      <c r="BG27" s="25"/>
      <c r="BH27" s="24"/>
      <c r="BI27" s="26"/>
      <c r="BJ27" s="37"/>
      <c r="BK27" s="66">
        <v>10</v>
      </c>
      <c r="BL27" s="34"/>
      <c r="BM27" s="35"/>
      <c r="BN27" s="35"/>
      <c r="BO27" s="35"/>
      <c r="BP27" s="35"/>
      <c r="BQ27" s="35"/>
      <c r="BR27" s="35"/>
      <c r="BS27" s="35"/>
      <c r="BT27" s="35"/>
      <c r="BU27" s="35"/>
      <c r="BV27" s="35"/>
      <c r="BW27" s="35"/>
      <c r="BX27" s="35"/>
      <c r="BY27" s="35"/>
      <c r="BZ27" s="35"/>
      <c r="CA27" s="35"/>
      <c r="CB27" s="35"/>
      <c r="CC27" s="35"/>
      <c r="CD27" s="35"/>
      <c r="CE27" s="35"/>
      <c r="CF27" s="35"/>
      <c r="CG27" s="35"/>
      <c r="CH27" s="35"/>
      <c r="CI27" s="35"/>
      <c r="CJ27" s="35"/>
      <c r="CK27" s="35"/>
      <c r="CL27" s="35"/>
      <c r="CM27" s="35"/>
      <c r="CN27" s="35"/>
      <c r="CO27" s="35"/>
      <c r="CP27" s="35"/>
      <c r="CQ27" s="35"/>
      <c r="CR27" s="35"/>
      <c r="CS27" s="35"/>
      <c r="CT27" s="35"/>
      <c r="CU27" s="35"/>
      <c r="CV27" s="35"/>
      <c r="CW27" s="35"/>
      <c r="CX27" s="35"/>
      <c r="CY27" s="35"/>
    </row>
    <row r="28" spans="1:103" s="35" customFormat="1" ht="12" x14ac:dyDescent="0.3">
      <c r="A28" s="43" t="s">
        <v>26</v>
      </c>
      <c r="B28" s="50" t="s">
        <v>136</v>
      </c>
      <c r="C28" s="60">
        <v>5.4833481378925031</v>
      </c>
      <c r="D28" s="42">
        <v>4.83</v>
      </c>
      <c r="E28" s="135">
        <v>7.1</v>
      </c>
      <c r="F28" s="21"/>
      <c r="G28" s="22"/>
      <c r="H28" s="67"/>
      <c r="I28" s="23"/>
      <c r="J28" s="24"/>
      <c r="K28" s="25"/>
      <c r="L28" s="68"/>
      <c r="M28" s="26"/>
      <c r="N28" s="21"/>
      <c r="O28" s="22"/>
      <c r="P28" s="82"/>
      <c r="Q28" s="27"/>
      <c r="R28" s="24"/>
      <c r="S28" s="25"/>
      <c r="T28" s="28"/>
      <c r="U28" s="31"/>
      <c r="V28" s="21">
        <v>0.56011290330762731</v>
      </c>
      <c r="W28" s="29">
        <v>10.11</v>
      </c>
      <c r="X28" s="67">
        <f>(V28-0.01*W28)/W28</f>
        <v>4.5401869763365715E-2</v>
      </c>
      <c r="Y28" s="23">
        <f xml:space="preserve"> LOG(X28*1000)</f>
        <v>1.6570737385661631</v>
      </c>
      <c r="Z28" s="24">
        <v>0.2262214940026</v>
      </c>
      <c r="AA28" s="30">
        <v>2.0299999999999998</v>
      </c>
      <c r="AB28" s="68">
        <f>(Z28-0.01*AA28)/AA28</f>
        <v>0.10143915960719213</v>
      </c>
      <c r="AC28" s="26">
        <f xml:space="preserve"> LOG(AB28*1000)</f>
        <v>2.0062056425539136</v>
      </c>
      <c r="AD28" s="21"/>
      <c r="AE28" s="22"/>
      <c r="AF28" s="21"/>
      <c r="AG28" s="23"/>
      <c r="AH28" s="24"/>
      <c r="AI28" s="25"/>
      <c r="AJ28" s="24"/>
      <c r="AK28" s="26"/>
      <c r="AL28" s="21"/>
      <c r="AM28" s="22"/>
      <c r="AN28" s="21"/>
      <c r="AO28" s="23"/>
      <c r="AP28" s="24"/>
      <c r="AQ28" s="25"/>
      <c r="AR28" s="24"/>
      <c r="AS28" s="26"/>
      <c r="AT28" s="21">
        <v>1.4641456840234865</v>
      </c>
      <c r="AU28" s="29">
        <v>8.3699999999999992</v>
      </c>
      <c r="AV28" s="67">
        <f t="shared" si="2"/>
        <v>0.16492779976385744</v>
      </c>
      <c r="AW28" s="23">
        <f t="shared" si="3"/>
        <v>2.2172938652652889</v>
      </c>
      <c r="AX28" s="24"/>
      <c r="AY28" s="25"/>
      <c r="AZ28" s="24"/>
      <c r="BA28" s="26"/>
      <c r="BB28" s="21"/>
      <c r="BC28" s="22"/>
      <c r="BD28" s="21"/>
      <c r="BE28" s="23"/>
      <c r="BF28" s="24"/>
      <c r="BG28" s="25"/>
      <c r="BH28" s="24"/>
      <c r="BI28" s="26"/>
      <c r="BJ28" s="37"/>
      <c r="BK28" s="66">
        <v>10</v>
      </c>
      <c r="BL28" s="34"/>
    </row>
    <row r="29" spans="1:103" s="35" customFormat="1" ht="12" x14ac:dyDescent="0.3">
      <c r="A29" s="43" t="s">
        <v>28</v>
      </c>
      <c r="B29" s="50" t="s">
        <v>137</v>
      </c>
      <c r="C29" s="60">
        <v>2.7413834349258304</v>
      </c>
      <c r="D29" s="42">
        <v>1.43</v>
      </c>
      <c r="E29" s="135">
        <v>7.3</v>
      </c>
      <c r="F29" s="21"/>
      <c r="G29" s="22"/>
      <c r="H29" s="67"/>
      <c r="I29" s="23"/>
      <c r="J29" s="24"/>
      <c r="K29" s="25"/>
      <c r="L29" s="68"/>
      <c r="M29" s="26"/>
      <c r="N29" s="21"/>
      <c r="O29" s="22"/>
      <c r="P29" s="38"/>
      <c r="Q29" s="27"/>
      <c r="R29" s="24"/>
      <c r="S29" s="25"/>
      <c r="T29" s="28"/>
      <c r="U29" s="31"/>
      <c r="V29" s="21">
        <v>0.43084276464511362</v>
      </c>
      <c r="W29" s="29">
        <v>26.39</v>
      </c>
      <c r="X29" s="67">
        <f>(V29-0.01*W29)/W29</f>
        <v>6.3259857766242364E-3</v>
      </c>
      <c r="Y29" s="23">
        <f xml:space="preserve"> LOG(X29*1000)</f>
        <v>0.80112821111107413</v>
      </c>
      <c r="Z29" s="24"/>
      <c r="AA29" s="25"/>
      <c r="AB29" s="68"/>
      <c r="AC29" s="26"/>
      <c r="AD29" s="21"/>
      <c r="AE29" s="22"/>
      <c r="AF29" s="21"/>
      <c r="AG29" s="23"/>
      <c r="AH29" s="24"/>
      <c r="AI29" s="25"/>
      <c r="AJ29" s="24"/>
      <c r="AK29" s="26"/>
      <c r="AL29" s="21">
        <v>0.54564400502801247</v>
      </c>
      <c r="AM29" s="29">
        <v>19.8</v>
      </c>
      <c r="AN29" s="67">
        <f>(AL29-0.01*AM29)/AM29</f>
        <v>1.7557778031717802E-2</v>
      </c>
      <c r="AO29" s="23">
        <f xml:space="preserve"> LOG(AN29*1000)</f>
        <v>1.2444695543023239</v>
      </c>
      <c r="AP29" s="24">
        <v>0.37057809814162279</v>
      </c>
      <c r="AQ29" s="30">
        <v>1.27</v>
      </c>
      <c r="AR29" s="68">
        <f>(AP29-0.01*AQ29)/AQ29</f>
        <v>0.28179377806426992</v>
      </c>
      <c r="AS29" s="26">
        <f xml:space="preserve"> LOG(AR29*1000)</f>
        <v>2.4499313997662919</v>
      </c>
      <c r="AT29" s="21">
        <v>0.29703459975765456</v>
      </c>
      <c r="AU29" s="29">
        <v>8.7200000000000006</v>
      </c>
      <c r="AV29" s="67">
        <f t="shared" si="2"/>
        <v>2.4063600889639283E-2</v>
      </c>
      <c r="AW29" s="23">
        <f t="shared" si="3"/>
        <v>1.381360615916837</v>
      </c>
      <c r="AX29" s="24"/>
      <c r="AY29" s="25"/>
      <c r="AZ29" s="24"/>
      <c r="BA29" s="26"/>
      <c r="BB29" s="21"/>
      <c r="BC29" s="22"/>
      <c r="BD29" s="21"/>
      <c r="BE29" s="23"/>
      <c r="BF29" s="24"/>
      <c r="BG29" s="25"/>
      <c r="BH29" s="24"/>
      <c r="BI29" s="26"/>
      <c r="BJ29" s="37"/>
      <c r="BK29" s="66">
        <v>10</v>
      </c>
      <c r="BL29" s="34"/>
    </row>
    <row r="30" spans="1:103" s="36" customFormat="1" ht="12" x14ac:dyDescent="0.3">
      <c r="A30" s="43" t="s">
        <v>31</v>
      </c>
      <c r="B30" s="50" t="s">
        <v>138</v>
      </c>
      <c r="C30" s="60">
        <v>11.850089207351303</v>
      </c>
      <c r="D30" s="42">
        <v>9.82</v>
      </c>
      <c r="E30" s="135">
        <v>5.0999999999999996</v>
      </c>
      <c r="F30" s="21"/>
      <c r="G30" s="22"/>
      <c r="H30" s="67"/>
      <c r="I30" s="23"/>
      <c r="J30" s="24"/>
      <c r="K30" s="25"/>
      <c r="L30" s="68"/>
      <c r="M30" s="26"/>
      <c r="N30" s="21"/>
      <c r="O30" s="22"/>
      <c r="P30" s="38"/>
      <c r="Q30" s="27"/>
      <c r="R30" s="24"/>
      <c r="S30" s="25"/>
      <c r="T30" s="28"/>
      <c r="U30" s="31"/>
      <c r="V30" s="21">
        <v>0.41080046615496668</v>
      </c>
      <c r="W30" s="145">
        <v>3.29</v>
      </c>
      <c r="X30" s="67">
        <f>(V30-0.01*W30)/W30</f>
        <v>0.11486336357293821</v>
      </c>
      <c r="Y30" s="23">
        <f xml:space="preserve"> LOG(X30*1000)</f>
        <v>2.0601815296865555</v>
      </c>
      <c r="Z30" s="24"/>
      <c r="AA30" s="25"/>
      <c r="AB30" s="68"/>
      <c r="AC30" s="26"/>
      <c r="AD30" s="21"/>
      <c r="AE30" s="22"/>
      <c r="AF30" s="21"/>
      <c r="AG30" s="23"/>
      <c r="AH30" s="24"/>
      <c r="AI30" s="25"/>
      <c r="AJ30" s="24"/>
      <c r="AK30" s="26"/>
      <c r="AL30" s="21"/>
      <c r="AM30" s="22"/>
      <c r="AN30" s="21"/>
      <c r="AO30" s="23"/>
      <c r="AP30" s="24"/>
      <c r="AQ30" s="25"/>
      <c r="AR30" s="24"/>
      <c r="AS30" s="26"/>
      <c r="AT30" s="21">
        <v>3.71432079970646</v>
      </c>
      <c r="AU30" s="29">
        <v>38.03</v>
      </c>
      <c r="AV30" s="67">
        <f t="shared" si="2"/>
        <v>8.7668177746685769E-2</v>
      </c>
      <c r="AW30" s="23">
        <f t="shared" si="3"/>
        <v>1.9428419794893912</v>
      </c>
      <c r="AX30" s="24"/>
      <c r="AY30" s="25"/>
      <c r="AZ30" s="24"/>
      <c r="BA30" s="26"/>
      <c r="BB30" s="21"/>
      <c r="BC30" s="22"/>
      <c r="BD30" s="21"/>
      <c r="BE30" s="23"/>
      <c r="BF30" s="24"/>
      <c r="BG30" s="25"/>
      <c r="BH30" s="24"/>
      <c r="BI30" s="26"/>
      <c r="BJ30" s="37"/>
      <c r="BK30" s="66">
        <v>10</v>
      </c>
      <c r="BL30" s="34"/>
      <c r="BM30" s="35"/>
      <c r="BN30" s="35"/>
      <c r="BO30" s="35"/>
      <c r="BP30" s="35"/>
      <c r="BQ30" s="35"/>
      <c r="BR30" s="35"/>
      <c r="BS30" s="35"/>
      <c r="BT30" s="35"/>
      <c r="BU30" s="35"/>
      <c r="BV30" s="35"/>
      <c r="BW30" s="35"/>
      <c r="BX30" s="35"/>
      <c r="BY30" s="35"/>
      <c r="BZ30" s="35"/>
      <c r="CA30" s="35"/>
      <c r="CB30" s="35"/>
      <c r="CC30" s="35"/>
      <c r="CD30" s="35"/>
      <c r="CE30" s="35"/>
      <c r="CF30" s="35"/>
      <c r="CG30" s="35"/>
      <c r="CH30" s="35"/>
      <c r="CI30" s="35"/>
      <c r="CJ30" s="35"/>
      <c r="CK30" s="35"/>
      <c r="CL30" s="35"/>
      <c r="CM30" s="35"/>
      <c r="CN30" s="35"/>
      <c r="CO30" s="35"/>
      <c r="CP30" s="35"/>
      <c r="CQ30" s="35"/>
      <c r="CR30" s="35"/>
      <c r="CS30" s="35"/>
      <c r="CT30" s="35"/>
      <c r="CU30" s="35"/>
      <c r="CV30" s="35"/>
      <c r="CW30" s="35"/>
      <c r="CX30" s="35"/>
      <c r="CY30" s="35"/>
    </row>
    <row r="31" spans="1:103" s="36" customFormat="1" ht="12" x14ac:dyDescent="0.3">
      <c r="A31" s="43" t="s">
        <v>35</v>
      </c>
      <c r="B31" s="50" t="s">
        <v>139</v>
      </c>
      <c r="C31" s="60">
        <v>11.760597003907296</v>
      </c>
      <c r="D31" s="42">
        <v>4.07</v>
      </c>
      <c r="E31" s="135">
        <v>4.9000000000000004</v>
      </c>
      <c r="F31" s="21"/>
      <c r="G31" s="22"/>
      <c r="H31" s="67"/>
      <c r="I31" s="23"/>
      <c r="J31" s="24"/>
      <c r="K31" s="25"/>
      <c r="L31" s="68"/>
      <c r="M31" s="26"/>
      <c r="N31" s="21"/>
      <c r="O31" s="22"/>
      <c r="P31" s="38"/>
      <c r="Q31" s="27"/>
      <c r="R31" s="24"/>
      <c r="S31" s="25"/>
      <c r="T31" s="28"/>
      <c r="U31" s="31"/>
      <c r="V31" s="21"/>
      <c r="W31" s="22"/>
      <c r="X31" s="67"/>
      <c r="Y31" s="23"/>
      <c r="Z31" s="24"/>
      <c r="AA31" s="25"/>
      <c r="AB31" s="68"/>
      <c r="AC31" s="26"/>
      <c r="AD31" s="21"/>
      <c r="AE31" s="22"/>
      <c r="AF31" s="21"/>
      <c r="AG31" s="23"/>
      <c r="AH31" s="24"/>
      <c r="AI31" s="25"/>
      <c r="AJ31" s="24"/>
      <c r="AK31" s="26"/>
      <c r="AL31" s="21"/>
      <c r="AM31" s="22"/>
      <c r="AN31" s="21"/>
      <c r="AO31" s="23"/>
      <c r="AP31" s="24"/>
      <c r="AQ31" s="25"/>
      <c r="AR31" s="24"/>
      <c r="AS31" s="26"/>
      <c r="AT31" s="21">
        <v>1.4833705343680106</v>
      </c>
      <c r="AU31" s="29">
        <v>17.86</v>
      </c>
      <c r="AV31" s="67">
        <f t="shared" si="2"/>
        <v>7.3055461050840459E-2</v>
      </c>
      <c r="AW31" s="23">
        <f t="shared" si="3"/>
        <v>1.8636526859184777</v>
      </c>
      <c r="AX31" s="24"/>
      <c r="AY31" s="25"/>
      <c r="AZ31" s="24"/>
      <c r="BA31" s="26"/>
      <c r="BB31" s="21"/>
      <c r="BC31" s="22"/>
      <c r="BD31" s="21"/>
      <c r="BE31" s="23"/>
      <c r="BF31" s="24"/>
      <c r="BG31" s="25"/>
      <c r="BH31" s="24"/>
      <c r="BI31" s="26"/>
      <c r="BJ31" s="37"/>
      <c r="BK31" s="66">
        <v>10</v>
      </c>
      <c r="BL31" s="34"/>
      <c r="BM31" s="35"/>
      <c r="BN31" s="35"/>
      <c r="BO31" s="35"/>
      <c r="BP31" s="35"/>
      <c r="BQ31" s="35"/>
      <c r="BR31" s="35"/>
      <c r="BS31" s="35"/>
      <c r="BT31" s="35"/>
      <c r="BU31" s="35"/>
      <c r="BV31" s="35"/>
      <c r="BW31" s="35"/>
      <c r="BX31" s="35"/>
      <c r="BY31" s="35"/>
      <c r="BZ31" s="35"/>
      <c r="CA31" s="35"/>
      <c r="CB31" s="35"/>
      <c r="CC31" s="35"/>
      <c r="CD31" s="35"/>
      <c r="CE31" s="35"/>
      <c r="CF31" s="35"/>
      <c r="CG31" s="35"/>
      <c r="CH31" s="35"/>
      <c r="CI31" s="35"/>
      <c r="CJ31" s="35"/>
      <c r="CK31" s="35"/>
      <c r="CL31" s="35"/>
      <c r="CM31" s="35"/>
      <c r="CN31" s="35"/>
      <c r="CO31" s="35"/>
      <c r="CP31" s="35"/>
      <c r="CQ31" s="35"/>
      <c r="CR31" s="35"/>
      <c r="CS31" s="35"/>
      <c r="CT31" s="35"/>
      <c r="CU31" s="35"/>
      <c r="CV31" s="35"/>
      <c r="CW31" s="35"/>
      <c r="CX31" s="35"/>
      <c r="CY31" s="35"/>
    </row>
    <row r="32" spans="1:103" s="35" customFormat="1" ht="12" x14ac:dyDescent="0.3">
      <c r="A32" s="43" t="s">
        <v>36</v>
      </c>
      <c r="B32" s="50" t="s">
        <v>140</v>
      </c>
      <c r="C32" s="60">
        <v>3.5513891349501834</v>
      </c>
      <c r="D32" s="42">
        <v>0.96</v>
      </c>
      <c r="E32" s="135">
        <v>6.7</v>
      </c>
      <c r="F32" s="21"/>
      <c r="G32" s="22"/>
      <c r="H32" s="67"/>
      <c r="I32" s="23"/>
      <c r="J32" s="24"/>
      <c r="K32" s="25"/>
      <c r="L32" s="68"/>
      <c r="M32" s="26"/>
      <c r="N32" s="21">
        <v>0.29277013598895724</v>
      </c>
      <c r="O32" s="29">
        <v>14.1</v>
      </c>
      <c r="P32" s="82">
        <f>(N32-0.01*O32)/O32</f>
        <v>1.076383943184094E-2</v>
      </c>
      <c r="Q32" s="27">
        <f xml:space="preserve"> LOG(P32*1000)</f>
        <v>1.0319672106092226</v>
      </c>
      <c r="R32" s="24"/>
      <c r="S32" s="25"/>
      <c r="T32" s="28"/>
      <c r="U32" s="31"/>
      <c r="V32" s="21">
        <v>0.42608715491017468</v>
      </c>
      <c r="W32" s="29">
        <v>26.04</v>
      </c>
      <c r="X32" s="67">
        <f>(V32-0.01*W32)/W32</f>
        <v>6.3627939673646184E-3</v>
      </c>
      <c r="Y32" s="23">
        <f xml:space="preserve"> LOG(X32*1000)</f>
        <v>0.80364786064227134</v>
      </c>
      <c r="Z32" s="24">
        <v>0.11056280840583681</v>
      </c>
      <c r="AA32" s="30">
        <v>7.7</v>
      </c>
      <c r="AB32" s="83">
        <f>(Z32-0.01*AA32)/AA32</f>
        <v>4.3588062864723127E-3</v>
      </c>
      <c r="AC32" s="26">
        <f xml:space="preserve"> LOG(AB32*1000)</f>
        <v>0.63936756858512245</v>
      </c>
      <c r="AD32" s="21"/>
      <c r="AE32" s="22"/>
      <c r="AF32" s="21"/>
      <c r="AG32" s="23"/>
      <c r="AH32" s="24"/>
      <c r="AI32" s="25"/>
      <c r="AJ32" s="24"/>
      <c r="AK32" s="26"/>
      <c r="AL32" s="21">
        <v>0.24236030486795287</v>
      </c>
      <c r="AM32" s="29">
        <v>0.15</v>
      </c>
      <c r="AN32" s="67">
        <f>(AL32-0.01*AM32)/AM32</f>
        <v>1.6057353657863525</v>
      </c>
      <c r="AO32" s="23">
        <f xml:space="preserve"> LOG(AN32*1000)</f>
        <v>3.2056739726682681</v>
      </c>
      <c r="AP32" s="24">
        <v>9.0303528968278771E-2</v>
      </c>
      <c r="AQ32" s="30">
        <v>5.54</v>
      </c>
      <c r="AR32" s="68">
        <f>(AP32-0.01*AQ32)/AQ32</f>
        <v>6.3002759870539292E-3</v>
      </c>
      <c r="AS32" s="26">
        <f xml:space="preserve"> LOG(AR32*1000)</f>
        <v>0.79935957437886751</v>
      </c>
      <c r="AT32" s="21">
        <v>0.9107180656367484</v>
      </c>
      <c r="AU32" s="29">
        <v>30.4</v>
      </c>
      <c r="AV32" s="67">
        <f t="shared" si="2"/>
        <v>1.9957831106471986E-2</v>
      </c>
      <c r="AW32" s="23">
        <f t="shared" si="3"/>
        <v>1.3001133430800487</v>
      </c>
      <c r="AX32" s="24"/>
      <c r="AY32" s="25"/>
      <c r="AZ32" s="24"/>
      <c r="BA32" s="26"/>
      <c r="BB32" s="21">
        <v>0.6131244525938937</v>
      </c>
      <c r="BC32" s="29">
        <v>1.79</v>
      </c>
      <c r="BD32" s="67">
        <f>(BB32-0.01*BC32)/BC32</f>
        <v>0.33252762714742662</v>
      </c>
      <c r="BE32" s="23">
        <f xml:space="preserve"> LOG(BD32*1000)</f>
        <v>2.5218277333060124</v>
      </c>
      <c r="BF32" s="24"/>
      <c r="BG32" s="25"/>
      <c r="BH32" s="24"/>
      <c r="BI32" s="26"/>
      <c r="BJ32" s="37"/>
      <c r="BK32" s="66">
        <v>10</v>
      </c>
      <c r="BL32" s="34"/>
    </row>
    <row r="33" spans="1:103" s="36" customFormat="1" ht="12" x14ac:dyDescent="0.3">
      <c r="A33" s="43" t="s">
        <v>37</v>
      </c>
      <c r="B33" s="50" t="s">
        <v>141</v>
      </c>
      <c r="C33" s="60">
        <v>5.4706920330819138</v>
      </c>
      <c r="D33" s="42">
        <v>1.94</v>
      </c>
      <c r="E33" s="135">
        <v>7.3</v>
      </c>
      <c r="F33" s="21"/>
      <c r="G33" s="22"/>
      <c r="H33" s="67"/>
      <c r="I33" s="23"/>
      <c r="J33" s="24"/>
      <c r="K33" s="25"/>
      <c r="L33" s="68"/>
      <c r="M33" s="26"/>
      <c r="N33" s="21">
        <v>0.13646888415665176</v>
      </c>
      <c r="O33" s="29">
        <v>3.1</v>
      </c>
      <c r="P33" s="82">
        <f>(N33-0.01*O33)/O33</f>
        <v>3.4022220695694112E-2</v>
      </c>
      <c r="Q33" s="27">
        <f xml:space="preserve"> LOG(P33*1000)</f>
        <v>1.5317626574367489</v>
      </c>
      <c r="R33" s="24"/>
      <c r="S33" s="25"/>
      <c r="T33" s="28"/>
      <c r="U33" s="31"/>
      <c r="V33" s="21">
        <v>0.37746745433747597</v>
      </c>
      <c r="W33" s="29">
        <v>11.52</v>
      </c>
      <c r="X33" s="67">
        <f>(V33-0.01*W33)/W33</f>
        <v>2.2766272077905905E-2</v>
      </c>
      <c r="Y33" s="23">
        <f xml:space="preserve"> LOG(X33*1000)</f>
        <v>1.3572919217639272</v>
      </c>
      <c r="Z33" s="24">
        <v>0.22458127033060959</v>
      </c>
      <c r="AA33" s="30">
        <v>9.4499999999999993</v>
      </c>
      <c r="AB33" s="68">
        <f>(Z33-0.01*AA33)/AA33</f>
        <v>1.3765213791598899E-2</v>
      </c>
      <c r="AC33" s="26">
        <f xml:space="preserve"> LOG(AB33*1000)</f>
        <v>1.1387829609375326</v>
      </c>
      <c r="AD33" s="21"/>
      <c r="AE33" s="22"/>
      <c r="AF33" s="21"/>
      <c r="AG33" s="23"/>
      <c r="AH33" s="24"/>
      <c r="AI33" s="25"/>
      <c r="AJ33" s="24"/>
      <c r="AK33" s="26"/>
      <c r="AL33" s="21">
        <v>0.4417473620574619</v>
      </c>
      <c r="AM33" s="29">
        <v>5.22</v>
      </c>
      <c r="AN33" s="67">
        <f>(AL33-0.01*AM33)/AM33</f>
        <v>7.4625931428632553E-2</v>
      </c>
      <c r="AO33" s="23">
        <f xml:space="preserve"> LOG(AN33*1000)</f>
        <v>1.8728897647309393</v>
      </c>
      <c r="AP33" s="24"/>
      <c r="AQ33" s="25"/>
      <c r="AR33" s="24"/>
      <c r="AS33" s="26"/>
      <c r="AT33" s="21">
        <v>0.65406648648995447</v>
      </c>
      <c r="AU33" s="29">
        <v>16.14</v>
      </c>
      <c r="AV33" s="67">
        <f t="shared" si="2"/>
        <v>3.0524565457865829E-2</v>
      </c>
      <c r="AW33" s="23">
        <f t="shared" si="3"/>
        <v>1.4846494901240681</v>
      </c>
      <c r="AX33" s="24"/>
      <c r="AY33" s="25"/>
      <c r="AZ33" s="24"/>
      <c r="BA33" s="26"/>
      <c r="BB33" s="21"/>
      <c r="BC33" s="22"/>
      <c r="BD33" s="21"/>
      <c r="BE33" s="23"/>
      <c r="BF33" s="24"/>
      <c r="BG33" s="25"/>
      <c r="BH33" s="24"/>
      <c r="BI33" s="26"/>
      <c r="BJ33" s="37"/>
      <c r="BK33" s="66">
        <v>10</v>
      </c>
      <c r="BL33" s="34"/>
      <c r="BM33" s="35"/>
      <c r="BN33" s="35"/>
      <c r="BO33" s="35"/>
      <c r="BP33" s="35"/>
      <c r="BQ33" s="35"/>
      <c r="BR33" s="35"/>
      <c r="BS33" s="35"/>
      <c r="BT33" s="35"/>
      <c r="BU33" s="35"/>
      <c r="BV33" s="35"/>
      <c r="BW33" s="35"/>
      <c r="BX33" s="35"/>
      <c r="BY33" s="35"/>
      <c r="BZ33" s="35"/>
      <c r="CA33" s="35"/>
      <c r="CB33" s="35"/>
      <c r="CC33" s="35"/>
      <c r="CD33" s="35"/>
      <c r="CE33" s="35"/>
      <c r="CF33" s="35"/>
      <c r="CG33" s="35"/>
      <c r="CH33" s="35"/>
      <c r="CI33" s="35"/>
      <c r="CJ33" s="35"/>
      <c r="CK33" s="35"/>
      <c r="CL33" s="35"/>
      <c r="CM33" s="35"/>
      <c r="CN33" s="35"/>
      <c r="CO33" s="35"/>
      <c r="CP33" s="35"/>
      <c r="CQ33" s="35"/>
      <c r="CR33" s="35"/>
      <c r="CS33" s="35"/>
      <c r="CT33" s="35"/>
      <c r="CU33" s="35"/>
      <c r="CV33" s="35"/>
      <c r="CW33" s="35"/>
      <c r="CX33" s="35"/>
      <c r="CY33" s="35"/>
    </row>
    <row r="34" spans="1:103" s="35" customFormat="1" ht="12" x14ac:dyDescent="0.3">
      <c r="A34" s="43" t="s">
        <v>38</v>
      </c>
      <c r="B34" s="50" t="s">
        <v>142</v>
      </c>
      <c r="C34" s="60">
        <v>6.4875790849975896</v>
      </c>
      <c r="D34" s="42">
        <v>1.92</v>
      </c>
      <c r="E34" s="135">
        <v>6.6</v>
      </c>
      <c r="F34" s="21"/>
      <c r="G34" s="22"/>
      <c r="H34" s="67"/>
      <c r="I34" s="23"/>
      <c r="J34" s="24"/>
      <c r="K34" s="25"/>
      <c r="L34" s="68"/>
      <c r="M34" s="26"/>
      <c r="N34" s="21"/>
      <c r="O34" s="22"/>
      <c r="P34" s="38"/>
      <c r="Q34" s="27"/>
      <c r="R34" s="24"/>
      <c r="S34" s="25"/>
      <c r="T34" s="28"/>
      <c r="U34" s="31"/>
      <c r="V34" s="21"/>
      <c r="W34" s="22"/>
      <c r="X34" s="67"/>
      <c r="Y34" s="23"/>
      <c r="Z34" s="24">
        <v>0.69169600517190755</v>
      </c>
      <c r="AA34" s="30">
        <v>1</v>
      </c>
      <c r="AB34" s="68">
        <f>(Z34-0.01*AA34)/AA34</f>
        <v>0.68169600517190754</v>
      </c>
      <c r="AC34" s="26">
        <f xml:space="preserve"> LOG(AB34*1000)</f>
        <v>2.8335907489832293</v>
      </c>
      <c r="AD34" s="21"/>
      <c r="AE34" s="22"/>
      <c r="AF34" s="21"/>
      <c r="AG34" s="23"/>
      <c r="AH34" s="24"/>
      <c r="AI34" s="25"/>
      <c r="AJ34" s="24"/>
      <c r="AK34" s="26"/>
      <c r="AL34" s="21"/>
      <c r="AM34" s="22"/>
      <c r="AN34" s="21"/>
      <c r="AO34" s="23"/>
      <c r="AP34" s="24"/>
      <c r="AQ34" s="25"/>
      <c r="AR34" s="24"/>
      <c r="AS34" s="26"/>
      <c r="AT34" s="21"/>
      <c r="AU34" s="22"/>
      <c r="AV34" s="67"/>
      <c r="AW34" s="23"/>
      <c r="AX34" s="24"/>
      <c r="AY34" s="25"/>
      <c r="AZ34" s="24"/>
      <c r="BA34" s="26"/>
      <c r="BB34" s="21"/>
      <c r="BC34" s="22"/>
      <c r="BD34" s="21"/>
      <c r="BE34" s="23"/>
      <c r="BF34" s="24"/>
      <c r="BG34" s="25"/>
      <c r="BH34" s="24"/>
      <c r="BI34" s="26"/>
      <c r="BJ34" s="37"/>
      <c r="BK34" s="66">
        <v>10</v>
      </c>
      <c r="BL34" s="34"/>
    </row>
    <row r="35" spans="1:103" s="36" customFormat="1" ht="12" x14ac:dyDescent="0.3">
      <c r="A35" s="43" t="s">
        <v>57</v>
      </c>
      <c r="B35" s="50" t="s">
        <v>143</v>
      </c>
      <c r="C35" s="60">
        <v>150.94678743332281</v>
      </c>
      <c r="D35" s="42">
        <v>4.46</v>
      </c>
      <c r="E35" s="135">
        <v>6.9</v>
      </c>
      <c r="F35" s="21"/>
      <c r="G35" s="22"/>
      <c r="H35" s="67"/>
      <c r="I35" s="23"/>
      <c r="J35" s="24"/>
      <c r="K35" s="25"/>
      <c r="L35" s="68"/>
      <c r="M35" s="26"/>
      <c r="N35" s="21"/>
      <c r="O35" s="22"/>
      <c r="P35" s="38"/>
      <c r="Q35" s="27"/>
      <c r="R35" s="24"/>
      <c r="S35" s="25"/>
      <c r="T35" s="28"/>
      <c r="U35" s="31"/>
      <c r="V35" s="21">
        <v>0.83663764396845375</v>
      </c>
      <c r="W35" s="29">
        <v>6.4218405119588748</v>
      </c>
      <c r="X35" s="67">
        <f>(V35-0.01*W35)/W35</f>
        <v>0.12028004080924325</v>
      </c>
      <c r="Y35" s="23">
        <f xml:space="preserve"> LOG(X35*1000)</f>
        <v>2.080193566778215</v>
      </c>
      <c r="Z35" s="24">
        <v>0.53348888092855007</v>
      </c>
      <c r="AA35" s="30">
        <v>2.2000223350039683</v>
      </c>
      <c r="AB35" s="68">
        <f>(Z35-0.01*AA35)/AA35</f>
        <v>0.23249248402634412</v>
      </c>
      <c r="AC35" s="26">
        <f xml:space="preserve"> LOG(AB35*1000)</f>
        <v>2.3664089176619054</v>
      </c>
      <c r="AD35" s="21"/>
      <c r="AE35" s="22"/>
      <c r="AF35" s="21"/>
      <c r="AG35" s="23"/>
      <c r="AH35" s="24"/>
      <c r="AI35" s="25"/>
      <c r="AJ35" s="24"/>
      <c r="AK35" s="26"/>
      <c r="AL35" s="21">
        <v>3.8637961395406357</v>
      </c>
      <c r="AM35" s="29">
        <v>28.944875947654793</v>
      </c>
      <c r="AN35" s="67">
        <f>(AL35-0.01*AM35)/AM35</f>
        <v>0.12348808771984711</v>
      </c>
      <c r="AO35" s="23">
        <f xml:space="preserve"> LOG(AN35*1000)</f>
        <v>2.091625065392793</v>
      </c>
      <c r="AP35" s="24"/>
      <c r="AQ35" s="25"/>
      <c r="AR35" s="24"/>
      <c r="AS35" s="26"/>
      <c r="AT35" s="21">
        <v>1.3711053718050819</v>
      </c>
      <c r="AU35" s="29">
        <v>10.378936318791268</v>
      </c>
      <c r="AV35" s="67">
        <f>(AT35-0.01*AU35)/AU35</f>
        <v>0.12210461358382829</v>
      </c>
      <c r="AW35" s="23">
        <f xml:space="preserve"> LOG(AV35*1000)</f>
        <v>2.0867320735775201</v>
      </c>
      <c r="AX35" s="24"/>
      <c r="AY35" s="25"/>
      <c r="AZ35" s="24"/>
      <c r="BA35" s="26"/>
      <c r="BB35" s="21">
        <v>32.634147164490798</v>
      </c>
      <c r="BC35" s="29">
        <v>484.79601060114715</v>
      </c>
      <c r="BD35" s="67">
        <f>(BB35-0.01*BC35)/BC35</f>
        <v>5.7315213926831719E-2</v>
      </c>
      <c r="BE35" s="23">
        <f xml:space="preserve"> LOG(BD35*1000)</f>
        <v>1.7582699177345666</v>
      </c>
      <c r="BF35" s="24"/>
      <c r="BG35" s="25"/>
      <c r="BH35" s="24"/>
      <c r="BI35" s="26"/>
      <c r="BJ35" s="37"/>
      <c r="BK35" s="66">
        <v>10</v>
      </c>
      <c r="BL35" s="34"/>
      <c r="BM35" s="35"/>
      <c r="BN35" s="35"/>
      <c r="BO35" s="35"/>
      <c r="BP35" s="35"/>
      <c r="BQ35" s="35"/>
      <c r="BR35" s="35"/>
      <c r="BS35" s="35"/>
      <c r="BT35" s="35"/>
      <c r="BU35" s="35"/>
      <c r="BV35" s="35"/>
      <c r="BW35" s="35"/>
      <c r="BX35" s="35"/>
      <c r="BY35" s="35"/>
      <c r="BZ35" s="35"/>
      <c r="CA35" s="35"/>
      <c r="CB35" s="35"/>
      <c r="CC35" s="35"/>
      <c r="CD35" s="35"/>
      <c r="CE35" s="35"/>
      <c r="CF35" s="35"/>
      <c r="CG35" s="35"/>
      <c r="CH35" s="35"/>
      <c r="CI35" s="35"/>
      <c r="CJ35" s="35"/>
      <c r="CK35" s="35"/>
      <c r="CL35" s="35"/>
      <c r="CM35" s="35"/>
      <c r="CN35" s="35"/>
      <c r="CO35" s="35"/>
      <c r="CP35" s="35"/>
      <c r="CQ35" s="35"/>
      <c r="CR35" s="35"/>
      <c r="CS35" s="35"/>
      <c r="CT35" s="35"/>
      <c r="CU35" s="35"/>
      <c r="CV35" s="35"/>
      <c r="CW35" s="35"/>
      <c r="CX35" s="35"/>
      <c r="CY35" s="35"/>
    </row>
    <row r="36" spans="1:103" s="36" customFormat="1" ht="12" x14ac:dyDescent="0.3">
      <c r="A36" s="43" t="s">
        <v>59</v>
      </c>
      <c r="B36" s="50" t="s">
        <v>144</v>
      </c>
      <c r="C36" s="60">
        <v>6.1760714535953838</v>
      </c>
      <c r="D36" s="42">
        <v>5.35</v>
      </c>
      <c r="E36" s="135">
        <v>7.1</v>
      </c>
      <c r="F36" s="21"/>
      <c r="G36" s="22"/>
      <c r="H36" s="67"/>
      <c r="I36" s="23"/>
      <c r="J36" s="24"/>
      <c r="K36" s="25"/>
      <c r="L36" s="68"/>
      <c r="M36" s="26"/>
      <c r="N36" s="21">
        <v>0.1213001738910098</v>
      </c>
      <c r="O36" s="29">
        <v>6.7129331884527677</v>
      </c>
      <c r="P36" s="82">
        <f>(N36-0.01*O36)/O36</f>
        <v>8.0696232907045678E-3</v>
      </c>
      <c r="Q36" s="27">
        <f xml:space="preserve"> LOG(P36*1000)</f>
        <v>0.90685326129122623</v>
      </c>
      <c r="R36" s="24"/>
      <c r="S36" s="25"/>
      <c r="T36" s="28"/>
      <c r="U36" s="31"/>
      <c r="V36" s="21"/>
      <c r="W36" s="22"/>
      <c r="X36" s="67"/>
      <c r="Y36" s="23"/>
      <c r="Z36" s="24"/>
      <c r="AA36" s="25"/>
      <c r="AB36" s="68"/>
      <c r="AC36" s="26"/>
      <c r="AD36" s="21"/>
      <c r="AE36" s="22"/>
      <c r="AF36" s="21"/>
      <c r="AG36" s="23"/>
      <c r="AH36" s="24"/>
      <c r="AI36" s="25"/>
      <c r="AJ36" s="24"/>
      <c r="AK36" s="26"/>
      <c r="AL36" s="21"/>
      <c r="AM36" s="22"/>
      <c r="AN36" s="21"/>
      <c r="AO36" s="23"/>
      <c r="AP36" s="24"/>
      <c r="AQ36" s="25"/>
      <c r="AR36" s="24"/>
      <c r="AS36" s="26"/>
      <c r="AT36" s="21"/>
      <c r="AU36" s="22"/>
      <c r="AV36" s="67"/>
      <c r="AW36" s="23"/>
      <c r="AX36" s="24"/>
      <c r="AY36" s="25"/>
      <c r="AZ36" s="24"/>
      <c r="BA36" s="26"/>
      <c r="BB36" s="21"/>
      <c r="BC36" s="22"/>
      <c r="BD36" s="21"/>
      <c r="BE36" s="23"/>
      <c r="BF36" s="24"/>
      <c r="BG36" s="25"/>
      <c r="BH36" s="24"/>
      <c r="BI36" s="26"/>
      <c r="BJ36" s="37"/>
      <c r="BK36" s="66">
        <v>10</v>
      </c>
      <c r="BL36" s="34"/>
      <c r="BM36" s="35"/>
      <c r="BN36" s="35"/>
      <c r="BO36" s="35"/>
      <c r="BP36" s="35"/>
      <c r="BQ36" s="35"/>
      <c r="BR36" s="35"/>
      <c r="BS36" s="35"/>
      <c r="BT36" s="35"/>
      <c r="BU36" s="35"/>
      <c r="BV36" s="35"/>
      <c r="BW36" s="35"/>
      <c r="BX36" s="35"/>
      <c r="BY36" s="35"/>
      <c r="BZ36" s="35"/>
      <c r="CA36" s="35"/>
      <c r="CB36" s="35"/>
      <c r="CC36" s="35"/>
      <c r="CD36" s="35"/>
      <c r="CE36" s="35"/>
      <c r="CF36" s="35"/>
      <c r="CG36" s="35"/>
      <c r="CH36" s="35"/>
      <c r="CI36" s="35"/>
      <c r="CJ36" s="35"/>
      <c r="CK36" s="35"/>
      <c r="CL36" s="35"/>
      <c r="CM36" s="35"/>
      <c r="CN36" s="35"/>
      <c r="CO36" s="35"/>
      <c r="CP36" s="35"/>
      <c r="CQ36" s="35"/>
      <c r="CR36" s="35"/>
      <c r="CS36" s="35"/>
      <c r="CT36" s="35"/>
      <c r="CU36" s="35"/>
      <c r="CV36" s="35"/>
      <c r="CW36" s="35"/>
      <c r="CX36" s="35"/>
      <c r="CY36" s="35"/>
    </row>
    <row r="37" spans="1:103" s="35" customFormat="1" ht="12" x14ac:dyDescent="0.3">
      <c r="A37" s="43" t="s">
        <v>60</v>
      </c>
      <c r="B37" s="50" t="s">
        <v>145</v>
      </c>
      <c r="C37" s="60">
        <v>4.4295631767830592</v>
      </c>
      <c r="D37" s="42">
        <v>1.33</v>
      </c>
      <c r="E37" s="135">
        <v>7.7</v>
      </c>
      <c r="F37" s="21"/>
      <c r="G37" s="22"/>
      <c r="H37" s="67"/>
      <c r="I37" s="23"/>
      <c r="J37" s="24"/>
      <c r="K37" s="25"/>
      <c r="L37" s="68"/>
      <c r="M37" s="26"/>
      <c r="N37" s="21">
        <v>0.19816353094413647</v>
      </c>
      <c r="O37" s="29">
        <v>17.504169105751725</v>
      </c>
      <c r="P37" s="82">
        <f>(N37-0.01*O37)/O37</f>
        <v>1.320933301485392E-3</v>
      </c>
      <c r="Q37" s="27">
        <f xml:space="preserve"> LOG(P37*1000)</f>
        <v>0.12088088912993207</v>
      </c>
      <c r="R37" s="24"/>
      <c r="S37" s="25"/>
      <c r="T37" s="28"/>
      <c r="U37" s="31"/>
      <c r="V37" s="21">
        <v>0.28136245478566296</v>
      </c>
      <c r="W37" s="29">
        <v>13.820868169644971</v>
      </c>
      <c r="X37" s="67">
        <f>(V37-0.01*W37)/W37</f>
        <v>1.0357798897440072E-2</v>
      </c>
      <c r="Y37" s="23">
        <f xml:space="preserve"> LOG(X37*1000)</f>
        <v>1.0152674746892199</v>
      </c>
      <c r="Z37" s="24">
        <v>0.22828286947334908</v>
      </c>
      <c r="AA37" s="30">
        <v>14.693547186317403</v>
      </c>
      <c r="AB37" s="68">
        <f>(Z37-0.01*AA37)/AA37</f>
        <v>5.5362668100950837E-3</v>
      </c>
      <c r="AC37" s="26">
        <f xml:space="preserve"> LOG(AB37*1000)</f>
        <v>0.74321701196889578</v>
      </c>
      <c r="AD37" s="21"/>
      <c r="AE37" s="22"/>
      <c r="AF37" s="67"/>
      <c r="AG37" s="23"/>
      <c r="AH37" s="24"/>
      <c r="AI37" s="25"/>
      <c r="AJ37" s="24"/>
      <c r="AK37" s="26"/>
      <c r="AL37" s="21">
        <v>0.40568900723080226</v>
      </c>
      <c r="AM37" s="29">
        <v>9.9705308484064794</v>
      </c>
      <c r="AN37" s="67">
        <f>(AL37-0.01*AM37)/AM37</f>
        <v>3.0688807185791991E-2</v>
      </c>
      <c r="AO37" s="23">
        <f xml:space="preserve"> LOG(AN37*1000)</f>
        <v>1.4869800085785869</v>
      </c>
      <c r="AP37" s="24"/>
      <c r="AQ37" s="25"/>
      <c r="AR37" s="24"/>
      <c r="AS37" s="26"/>
      <c r="AT37" s="21">
        <v>0.23396704753259329</v>
      </c>
      <c r="AU37" s="29">
        <v>10.750678935574001</v>
      </c>
      <c r="AV37" s="67">
        <f>(AT37-0.01*AU37)/AU37</f>
        <v>1.1763002033145667E-2</v>
      </c>
      <c r="AW37" s="23">
        <f xml:space="preserve"> LOG(AV37*1000)</f>
        <v>1.0705181720843822</v>
      </c>
      <c r="AX37" s="24"/>
      <c r="AY37" s="25"/>
      <c r="AZ37" s="24"/>
      <c r="BA37" s="26"/>
      <c r="BB37" s="21"/>
      <c r="BC37" s="22"/>
      <c r="BD37" s="21"/>
      <c r="BE37" s="23"/>
      <c r="BF37" s="24"/>
      <c r="BG37" s="25"/>
      <c r="BH37" s="24"/>
      <c r="BI37" s="26"/>
      <c r="BJ37" s="37"/>
      <c r="BK37" s="66">
        <v>10</v>
      </c>
      <c r="BL37" s="34"/>
    </row>
    <row r="38" spans="1:103" s="36" customFormat="1" ht="12" x14ac:dyDescent="0.3">
      <c r="A38" s="43" t="s">
        <v>61</v>
      </c>
      <c r="B38" s="50" t="s">
        <v>146</v>
      </c>
      <c r="C38" s="60">
        <v>3.2060385435473027</v>
      </c>
      <c r="D38" s="42">
        <v>4.6399999999999997</v>
      </c>
      <c r="E38" s="135">
        <v>7</v>
      </c>
      <c r="F38" s="21"/>
      <c r="G38" s="22"/>
      <c r="H38" s="67"/>
      <c r="I38" s="23"/>
      <c r="J38" s="24"/>
      <c r="K38" s="25"/>
      <c r="L38" s="68"/>
      <c r="M38" s="26"/>
      <c r="N38" s="21"/>
      <c r="O38" s="22"/>
      <c r="P38" s="38"/>
      <c r="Q38" s="27"/>
      <c r="R38" s="24"/>
      <c r="S38" s="25"/>
      <c r="T38" s="28"/>
      <c r="U38" s="31"/>
      <c r="V38" s="21"/>
      <c r="W38" s="22"/>
      <c r="X38" s="67"/>
      <c r="Y38" s="23"/>
      <c r="Z38" s="24">
        <v>0.16347918386393184</v>
      </c>
      <c r="AA38" s="30">
        <v>1.0316389470465324</v>
      </c>
      <c r="AB38" s="68">
        <f>(Z38-0.01*AA38)/AA38</f>
        <v>0.14846550223016935</v>
      </c>
      <c r="AC38" s="26">
        <f xml:space="preserve"> LOG(AB38*1000)</f>
        <v>2.1716255517570158</v>
      </c>
      <c r="AD38" s="21"/>
      <c r="AE38" s="22"/>
      <c r="AF38" s="21"/>
      <c r="AG38" s="23"/>
      <c r="AH38" s="24"/>
      <c r="AI38" s="25"/>
      <c r="AJ38" s="24"/>
      <c r="AK38" s="26"/>
      <c r="AL38" s="21"/>
      <c r="AM38" s="22"/>
      <c r="AN38" s="21"/>
      <c r="AO38" s="23"/>
      <c r="AP38" s="24">
        <v>0.31491635630228643</v>
      </c>
      <c r="AQ38" s="30">
        <v>3.4411833151397948</v>
      </c>
      <c r="AR38" s="68">
        <f>(AP38-0.01*AQ38)/AQ38</f>
        <v>8.1513972800223586E-2</v>
      </c>
      <c r="AS38" s="26">
        <f xml:space="preserve"> LOG(AR38*1000)</f>
        <v>1.9112320601498092</v>
      </c>
      <c r="AT38" s="21"/>
      <c r="AU38" s="22"/>
      <c r="AV38" s="67"/>
      <c r="AW38" s="23"/>
      <c r="AX38" s="24"/>
      <c r="AY38" s="25"/>
      <c r="AZ38" s="24"/>
      <c r="BA38" s="26"/>
      <c r="BB38" s="21"/>
      <c r="BC38" s="22"/>
      <c r="BD38" s="21"/>
      <c r="BE38" s="23"/>
      <c r="BF38" s="24"/>
      <c r="BG38" s="25"/>
      <c r="BH38" s="24"/>
      <c r="BI38" s="26"/>
      <c r="BJ38" s="37"/>
      <c r="BK38" s="66">
        <v>10</v>
      </c>
      <c r="BL38" s="34"/>
      <c r="BM38" s="35"/>
      <c r="BN38" s="35"/>
      <c r="BO38" s="35"/>
      <c r="BP38" s="35"/>
      <c r="BQ38" s="35"/>
      <c r="BR38" s="35"/>
      <c r="BS38" s="35"/>
      <c r="BT38" s="35"/>
      <c r="BU38" s="35"/>
      <c r="BV38" s="35"/>
      <c r="BW38" s="35"/>
      <c r="BX38" s="35"/>
      <c r="BY38" s="35"/>
      <c r="BZ38" s="35"/>
      <c r="CA38" s="35"/>
      <c r="CB38" s="35"/>
      <c r="CC38" s="35"/>
      <c r="CD38" s="35"/>
      <c r="CE38" s="35"/>
      <c r="CF38" s="35"/>
      <c r="CG38" s="35"/>
      <c r="CH38" s="35"/>
      <c r="CI38" s="35"/>
      <c r="CJ38" s="35"/>
      <c r="CK38" s="35"/>
      <c r="CL38" s="35"/>
      <c r="CM38" s="35"/>
      <c r="CN38" s="35"/>
      <c r="CO38" s="35"/>
      <c r="CP38" s="35"/>
      <c r="CQ38" s="35"/>
      <c r="CR38" s="35"/>
      <c r="CS38" s="35"/>
      <c r="CT38" s="35"/>
      <c r="CU38" s="35"/>
      <c r="CV38" s="35"/>
      <c r="CW38" s="35"/>
      <c r="CX38" s="35"/>
      <c r="CY38" s="35"/>
    </row>
    <row r="39" spans="1:103" s="35" customFormat="1" ht="12" x14ac:dyDescent="0.3">
      <c r="A39" s="43" t="s">
        <v>62</v>
      </c>
      <c r="B39" s="50" t="s">
        <v>147</v>
      </c>
      <c r="C39" s="60">
        <v>11.200158331236405</v>
      </c>
      <c r="D39" s="42">
        <v>3.21</v>
      </c>
      <c r="E39" s="135">
        <v>7.1</v>
      </c>
      <c r="F39" s="21">
        <v>1.8228608508167727</v>
      </c>
      <c r="G39" s="29">
        <v>10.751112813786321</v>
      </c>
      <c r="H39" s="67">
        <f>(F39-0.01*G39)/G39</f>
        <v>0.15955089974307493</v>
      </c>
      <c r="I39" s="23">
        <f xml:space="preserve"> LOG(H39*1000)</f>
        <v>2.2028992576197881</v>
      </c>
      <c r="J39" s="24"/>
      <c r="K39" s="25"/>
      <c r="L39" s="68"/>
      <c r="M39" s="26"/>
      <c r="N39" s="21"/>
      <c r="O39" s="22"/>
      <c r="P39" s="38"/>
      <c r="Q39" s="27"/>
      <c r="R39" s="24"/>
      <c r="S39" s="25"/>
      <c r="T39" s="28"/>
      <c r="U39" s="31"/>
      <c r="V39" s="21">
        <v>0.51273207404166177</v>
      </c>
      <c r="W39" s="29">
        <v>4.466876545016941</v>
      </c>
      <c r="X39" s="67">
        <f>(V39-0.01*W39)/W39</f>
        <v>0.1047853693457555</v>
      </c>
      <c r="Y39" s="23">
        <f xml:space="preserve"> LOG(X39*1000)</f>
        <v>2.0203006485258208</v>
      </c>
      <c r="Z39" s="24">
        <v>0.34216247779580439</v>
      </c>
      <c r="AA39" s="30">
        <v>2.0149398955761626</v>
      </c>
      <c r="AB39" s="68">
        <f>(Z39-0.01*AA39)/AA39</f>
        <v>0.15981274654744212</v>
      </c>
      <c r="AC39" s="26">
        <f xml:space="preserve"> LOG(AB39*1000)</f>
        <v>2.2036114153687589</v>
      </c>
      <c r="AD39" s="21"/>
      <c r="AE39" s="22"/>
      <c r="AF39" s="21"/>
      <c r="AG39" s="23"/>
      <c r="AH39" s="24"/>
      <c r="AI39" s="25"/>
      <c r="AJ39" s="24"/>
      <c r="AK39" s="26"/>
      <c r="AL39" s="21"/>
      <c r="AM39" s="22"/>
      <c r="AN39" s="21"/>
      <c r="AO39" s="23"/>
      <c r="AP39" s="24"/>
      <c r="AQ39" s="25"/>
      <c r="AR39" s="24"/>
      <c r="AS39" s="26"/>
      <c r="AT39" s="21">
        <v>1.0000895966659489</v>
      </c>
      <c r="AU39" s="29">
        <v>1.1222225111164281</v>
      </c>
      <c r="AV39" s="67">
        <f>(AT39-0.01*AU39)/AU39</f>
        <v>0.88116871811012154</v>
      </c>
      <c r="AW39" s="23">
        <f xml:space="preserve"> LOG(AV39*1000)</f>
        <v>2.9450590711009479</v>
      </c>
      <c r="AX39" s="24"/>
      <c r="AY39" s="25"/>
      <c r="AZ39" s="24"/>
      <c r="BA39" s="26"/>
      <c r="BB39" s="21"/>
      <c r="BC39" s="22"/>
      <c r="BD39" s="21"/>
      <c r="BE39" s="23"/>
      <c r="BF39" s="24"/>
      <c r="BG39" s="25"/>
      <c r="BH39" s="24"/>
      <c r="BI39" s="26"/>
      <c r="BJ39" s="37"/>
      <c r="BK39" s="66">
        <v>10</v>
      </c>
      <c r="BL39" s="34"/>
    </row>
    <row r="40" spans="1:103" s="36" customFormat="1" ht="12" x14ac:dyDescent="0.3">
      <c r="A40" s="43" t="s">
        <v>63</v>
      </c>
      <c r="B40" s="50" t="s">
        <v>148</v>
      </c>
      <c r="C40" s="60">
        <v>7.3461983199171899</v>
      </c>
      <c r="D40" s="42">
        <v>0.23</v>
      </c>
      <c r="E40" s="135">
        <v>7.2</v>
      </c>
      <c r="F40" s="21"/>
      <c r="G40" s="22"/>
      <c r="H40" s="67"/>
      <c r="I40" s="23"/>
      <c r="J40" s="24"/>
      <c r="K40" s="25"/>
      <c r="L40" s="68"/>
      <c r="M40" s="26"/>
      <c r="N40" s="21"/>
      <c r="O40" s="22"/>
      <c r="P40" s="38"/>
      <c r="Q40" s="27"/>
      <c r="R40" s="24"/>
      <c r="S40" s="25"/>
      <c r="T40" s="28"/>
      <c r="U40" s="31"/>
      <c r="V40" s="21">
        <v>0.32171058655788054</v>
      </c>
      <c r="W40" s="29">
        <v>0.37724739355367376</v>
      </c>
      <c r="X40" s="67">
        <f>(V40-0.01*W40)/W40</f>
        <v>0.8427841200633992</v>
      </c>
      <c r="Y40" s="23">
        <f xml:space="preserve"> LOG(X40*1000)</f>
        <v>2.9257163439343876</v>
      </c>
      <c r="Z40" s="24">
        <v>0.7593695894822734</v>
      </c>
      <c r="AA40" s="30">
        <v>0.65222687152781411</v>
      </c>
      <c r="AB40" s="68">
        <f>(Z40-0.01*AA40)/AA40</f>
        <v>1.1542721614696463</v>
      </c>
      <c r="AC40" s="26">
        <f xml:space="preserve"> LOG(AB40*1000)</f>
        <v>3.0623082215481379</v>
      </c>
      <c r="AD40" s="21"/>
      <c r="AE40" s="22"/>
      <c r="AF40" s="21"/>
      <c r="AG40" s="23"/>
      <c r="AH40" s="24"/>
      <c r="AI40" s="25"/>
      <c r="AJ40" s="24"/>
      <c r="AK40" s="26"/>
      <c r="AL40" s="21"/>
      <c r="AM40" s="22"/>
      <c r="AN40" s="21"/>
      <c r="AO40" s="23"/>
      <c r="AP40" s="24"/>
      <c r="AQ40" s="25"/>
      <c r="AR40" s="24"/>
      <c r="AS40" s="26"/>
      <c r="AT40" s="21">
        <v>0.64941640812564549</v>
      </c>
      <c r="AU40" s="29">
        <v>7.0202320894260311</v>
      </c>
      <c r="AV40" s="67">
        <f>(AT40-0.01*AU40)/AU40</f>
        <v>8.2506401476926269E-2</v>
      </c>
      <c r="AW40" s="23">
        <f xml:space="preserve"> LOG(AV40*1000)</f>
        <v>1.9164876457408415</v>
      </c>
      <c r="AX40" s="24"/>
      <c r="AY40" s="25"/>
      <c r="AZ40" s="24"/>
      <c r="BA40" s="26"/>
      <c r="BB40" s="21"/>
      <c r="BC40" s="22"/>
      <c r="BD40" s="21"/>
      <c r="BE40" s="23"/>
      <c r="BF40" s="24"/>
      <c r="BG40" s="25"/>
      <c r="BH40" s="24"/>
      <c r="BI40" s="26"/>
      <c r="BJ40" s="37"/>
      <c r="BK40" s="66">
        <v>10</v>
      </c>
      <c r="BL40" s="34"/>
      <c r="BM40" s="35"/>
      <c r="BN40" s="35"/>
      <c r="BO40" s="35"/>
      <c r="BP40" s="35"/>
      <c r="BQ40" s="35"/>
      <c r="BR40" s="35"/>
      <c r="BS40" s="35"/>
      <c r="BT40" s="35"/>
      <c r="BU40" s="35"/>
      <c r="BV40" s="35"/>
      <c r="BW40" s="35"/>
      <c r="BX40" s="35"/>
      <c r="BY40" s="35"/>
      <c r="BZ40" s="35"/>
      <c r="CA40" s="35"/>
      <c r="CB40" s="35"/>
      <c r="CC40" s="35"/>
      <c r="CD40" s="35"/>
      <c r="CE40" s="35"/>
      <c r="CF40" s="35"/>
      <c r="CG40" s="35"/>
      <c r="CH40" s="35"/>
      <c r="CI40" s="35"/>
      <c r="CJ40" s="35"/>
      <c r="CK40" s="35"/>
      <c r="CL40" s="35"/>
      <c r="CM40" s="35"/>
      <c r="CN40" s="35"/>
      <c r="CO40" s="35"/>
      <c r="CP40" s="35"/>
      <c r="CQ40" s="35"/>
      <c r="CR40" s="35"/>
      <c r="CS40" s="35"/>
      <c r="CT40" s="35"/>
      <c r="CU40" s="35"/>
      <c r="CV40" s="35"/>
      <c r="CW40" s="35"/>
      <c r="CX40" s="35"/>
      <c r="CY40" s="35"/>
    </row>
    <row r="41" spans="1:103" s="35" customFormat="1" ht="12" x14ac:dyDescent="0.3">
      <c r="A41" s="43" t="s">
        <v>64</v>
      </c>
      <c r="B41" s="50" t="s">
        <v>149</v>
      </c>
      <c r="C41" s="60">
        <v>4.4465700249378219</v>
      </c>
      <c r="D41" s="42">
        <v>2.2599999999999998</v>
      </c>
      <c r="E41" s="135">
        <v>7</v>
      </c>
      <c r="F41" s="21"/>
      <c r="G41" s="22"/>
      <c r="H41" s="67"/>
      <c r="I41" s="23"/>
      <c r="J41" s="24"/>
      <c r="K41" s="25"/>
      <c r="L41" s="68"/>
      <c r="M41" s="26"/>
      <c r="N41" s="21">
        <v>0.12571440885907778</v>
      </c>
      <c r="O41" s="29">
        <v>5.12130109217747</v>
      </c>
      <c r="P41" s="82">
        <f>(N41-0.01*O41)/O41</f>
        <v>1.4547357516452258E-2</v>
      </c>
      <c r="Q41" s="27">
        <f xml:space="preserve"> LOG(P41*1000)</f>
        <v>1.1627841122052605</v>
      </c>
      <c r="R41" s="24"/>
      <c r="S41" s="25"/>
      <c r="T41" s="28"/>
      <c r="U41" s="31"/>
      <c r="V41" s="21"/>
      <c r="W41" s="22"/>
      <c r="X41" s="67"/>
      <c r="Y41" s="23"/>
      <c r="Z41" s="24"/>
      <c r="AA41" s="25"/>
      <c r="AB41" s="68"/>
      <c r="AC41" s="26"/>
      <c r="AD41" s="21"/>
      <c r="AE41" s="22"/>
      <c r="AF41" s="21"/>
      <c r="AG41" s="23"/>
      <c r="AH41" s="24"/>
      <c r="AI41" s="25"/>
      <c r="AJ41" s="24"/>
      <c r="AK41" s="26"/>
      <c r="AL41" s="21"/>
      <c r="AM41" s="22"/>
      <c r="AN41" s="21"/>
      <c r="AO41" s="23"/>
      <c r="AP41" s="24"/>
      <c r="AQ41" s="25"/>
      <c r="AR41" s="24"/>
      <c r="AS41" s="26"/>
      <c r="AT41" s="21"/>
      <c r="AU41" s="22"/>
      <c r="AV41" s="67"/>
      <c r="AW41" s="23"/>
      <c r="AX41" s="24"/>
      <c r="AY41" s="25"/>
      <c r="AZ41" s="24"/>
      <c r="BA41" s="26"/>
      <c r="BB41" s="21"/>
      <c r="BC41" s="22"/>
      <c r="BD41" s="21"/>
      <c r="BE41" s="23"/>
      <c r="BF41" s="24"/>
      <c r="BG41" s="25"/>
      <c r="BH41" s="24"/>
      <c r="BI41" s="26"/>
      <c r="BJ41" s="37"/>
      <c r="BK41" s="66">
        <v>10</v>
      </c>
      <c r="BL41" s="34"/>
    </row>
    <row r="42" spans="1:103" s="35" customFormat="1" ht="12" x14ac:dyDescent="0.3">
      <c r="A42" s="43" t="s">
        <v>66</v>
      </c>
      <c r="B42" s="50" t="s">
        <v>150</v>
      </c>
      <c r="C42" s="60">
        <v>17.919242885486675</v>
      </c>
      <c r="D42" s="42">
        <v>3.51</v>
      </c>
      <c r="E42" s="135">
        <v>7.4</v>
      </c>
      <c r="F42" s="21"/>
      <c r="G42" s="22"/>
      <c r="H42" s="67"/>
      <c r="I42" s="23"/>
      <c r="J42" s="24"/>
      <c r="K42" s="25"/>
      <c r="L42" s="68"/>
      <c r="M42" s="26"/>
      <c r="N42" s="21"/>
      <c r="O42" s="22"/>
      <c r="P42" s="38"/>
      <c r="Q42" s="27"/>
      <c r="R42" s="24"/>
      <c r="S42" s="25"/>
      <c r="T42" s="28"/>
      <c r="U42" s="31"/>
      <c r="V42" s="21">
        <v>2.6614806278326637</v>
      </c>
      <c r="W42" s="29">
        <v>115.41241748179141</v>
      </c>
      <c r="X42" s="67">
        <f>(V42-0.01*W42)/W42</f>
        <v>1.3060608952694062E-2</v>
      </c>
      <c r="Y42" s="23">
        <f xml:space="preserve"> LOG(X42*1000)</f>
        <v>1.1159634264512543</v>
      </c>
      <c r="Z42" s="24">
        <v>1.3119136804623794</v>
      </c>
      <c r="AA42" s="30">
        <v>51.718357209692549</v>
      </c>
      <c r="AB42" s="68">
        <f>(Z42-0.01*AA42)/AA42</f>
        <v>1.5366499464459274E-2</v>
      </c>
      <c r="AC42" s="26">
        <f xml:space="preserve"> LOG(AB42*1000)</f>
        <v>1.1865749451564656</v>
      </c>
      <c r="AD42" s="21"/>
      <c r="AE42" s="22"/>
      <c r="AF42" s="21"/>
      <c r="AG42" s="23"/>
      <c r="AH42" s="24"/>
      <c r="AI42" s="25"/>
      <c r="AJ42" s="24"/>
      <c r="AK42" s="26"/>
      <c r="AL42" s="21">
        <v>6.7655696581030629</v>
      </c>
      <c r="AM42" s="29">
        <v>154.15400768366857</v>
      </c>
      <c r="AN42" s="67">
        <f>(AL42-0.01*AM42)/AM42</f>
        <v>3.3888379937460571E-2</v>
      </c>
      <c r="AO42" s="23">
        <f xml:space="preserve"> LOG(AN42*1000)</f>
        <v>1.5300508075202151</v>
      </c>
      <c r="AP42" s="24"/>
      <c r="AQ42" s="25"/>
      <c r="AR42" s="24"/>
      <c r="AS42" s="26"/>
      <c r="AT42" s="21">
        <v>0.45463276951899806</v>
      </c>
      <c r="AU42" s="29">
        <v>1.7147576671184512</v>
      </c>
      <c r="AV42" s="67">
        <f>(AT42-0.01*AU42)/AU42</f>
        <v>0.25512945720370012</v>
      </c>
      <c r="AW42" s="23">
        <f t="shared" ref="AW42:AW55" si="4" xml:space="preserve"> LOG(AV42*1000)</f>
        <v>2.4067606050717507</v>
      </c>
      <c r="AX42" s="24"/>
      <c r="AY42" s="25"/>
      <c r="AZ42" s="24"/>
      <c r="BA42" s="26"/>
      <c r="BB42" s="21"/>
      <c r="BC42" s="22"/>
      <c r="BD42" s="21"/>
      <c r="BE42" s="23"/>
      <c r="BF42" s="24"/>
      <c r="BG42" s="25"/>
      <c r="BH42" s="24"/>
      <c r="BI42" s="26"/>
      <c r="BJ42" s="37"/>
      <c r="BK42" s="66">
        <v>10</v>
      </c>
      <c r="BL42" s="34"/>
    </row>
    <row r="43" spans="1:103" s="35" customFormat="1" ht="12" x14ac:dyDescent="0.3">
      <c r="A43" s="43" t="s">
        <v>95</v>
      </c>
      <c r="B43" s="50" t="s">
        <v>151</v>
      </c>
      <c r="C43" s="61">
        <v>3.9563121245575235</v>
      </c>
      <c r="D43" s="43">
        <v>2.92</v>
      </c>
      <c r="E43" s="135">
        <v>7.1</v>
      </c>
      <c r="F43" s="21"/>
      <c r="G43" s="22"/>
      <c r="H43" s="67"/>
      <c r="I43" s="23"/>
      <c r="J43" s="24"/>
      <c r="K43" s="25"/>
      <c r="L43" s="68"/>
      <c r="M43" s="26"/>
      <c r="N43" s="21"/>
      <c r="O43" s="22"/>
      <c r="P43" s="82"/>
      <c r="Q43" s="27"/>
      <c r="R43" s="24"/>
      <c r="S43" s="25"/>
      <c r="T43" s="28"/>
      <c r="U43" s="31"/>
      <c r="V43" s="21"/>
      <c r="W43" s="22"/>
      <c r="X43" s="67"/>
      <c r="Y43" s="23"/>
      <c r="Z43" s="24"/>
      <c r="AA43" s="25"/>
      <c r="AB43" s="68"/>
      <c r="AC43" s="26"/>
      <c r="AD43" s="21"/>
      <c r="AE43" s="22"/>
      <c r="AF43" s="21"/>
      <c r="AG43" s="23"/>
      <c r="AH43" s="24"/>
      <c r="AI43" s="25"/>
      <c r="AJ43" s="24"/>
      <c r="AK43" s="26"/>
      <c r="AL43" s="21"/>
      <c r="AM43" s="22"/>
      <c r="AN43" s="21"/>
      <c r="AO43" s="23"/>
      <c r="AP43" s="24"/>
      <c r="AQ43" s="25"/>
      <c r="AR43" s="24"/>
      <c r="AS43" s="26"/>
      <c r="AT43" s="21">
        <v>0.7161170259959273</v>
      </c>
      <c r="AU43" s="29">
        <v>1.0163046507611471</v>
      </c>
      <c r="AV43" s="67">
        <f>(AT43-0.01*AU43)/AU43</f>
        <v>0.69462830752530902</v>
      </c>
      <c r="AW43" s="23">
        <f t="shared" si="4"/>
        <v>2.8417524777244352</v>
      </c>
      <c r="AX43" s="24"/>
      <c r="AY43" s="25"/>
      <c r="AZ43" s="24"/>
      <c r="BA43" s="26"/>
      <c r="BB43" s="21"/>
      <c r="BC43" s="22"/>
      <c r="BD43" s="21"/>
      <c r="BE43" s="23"/>
      <c r="BF43" s="24"/>
      <c r="BG43" s="25"/>
      <c r="BH43" s="24"/>
      <c r="BI43" s="26"/>
      <c r="BJ43" s="37"/>
      <c r="BK43" s="66">
        <v>10</v>
      </c>
      <c r="BL43" s="34"/>
    </row>
    <row r="44" spans="1:103" s="2" customFormat="1" ht="12" x14ac:dyDescent="0.3">
      <c r="A44" s="43" t="s">
        <v>20</v>
      </c>
      <c r="B44" s="51" t="s">
        <v>152</v>
      </c>
      <c r="C44" s="59">
        <v>54.239473088584873</v>
      </c>
      <c r="D44" s="44">
        <v>9.1199999999999992</v>
      </c>
      <c r="E44" s="135">
        <v>6.9</v>
      </c>
      <c r="F44" s="21">
        <v>1.93071049298399</v>
      </c>
      <c r="G44" s="29">
        <v>47.08</v>
      </c>
      <c r="H44" s="67">
        <f>(F44-0.01*G44)/G44</f>
        <v>3.1009143861172258E-2</v>
      </c>
      <c r="I44" s="23">
        <f xml:space="preserve"> LOG(H44*1000)</f>
        <v>1.4914897758632095</v>
      </c>
      <c r="J44" s="24"/>
      <c r="K44" s="25"/>
      <c r="L44" s="68"/>
      <c r="M44" s="26"/>
      <c r="N44" s="21">
        <v>3.8555002441257962</v>
      </c>
      <c r="O44" s="29">
        <v>193.78</v>
      </c>
      <c r="P44" s="82">
        <f>(N44-0.01*O44)/O44</f>
        <v>9.8962753851057697E-3</v>
      </c>
      <c r="Q44" s="27">
        <f xml:space="preserve"> LOG(P44*1000)</f>
        <v>0.99547177196542358</v>
      </c>
      <c r="R44" s="24"/>
      <c r="S44" s="25"/>
      <c r="T44" s="28"/>
      <c r="U44" s="140"/>
      <c r="V44" s="21">
        <v>1.8344159198283547</v>
      </c>
      <c r="W44" s="29">
        <v>105.68</v>
      </c>
      <c r="X44" s="67">
        <f>(V44-0.01*W44)/W44</f>
        <v>7.3582127160139524E-3</v>
      </c>
      <c r="Y44" s="23">
        <f xml:space="preserve"> LOG(X44*1000)</f>
        <v>0.86677233854481572</v>
      </c>
      <c r="Z44" s="24">
        <v>1.0616532469839091</v>
      </c>
      <c r="AA44" s="30">
        <v>69.42</v>
      </c>
      <c r="AB44" s="68">
        <f>(Z44-0.01*AA44)/AA44</f>
        <v>5.2931899594340108E-3</v>
      </c>
      <c r="AC44" s="26">
        <f xml:space="preserve"> LOG(AB44*1000)</f>
        <v>0.72371748002067049</v>
      </c>
      <c r="AD44" s="21"/>
      <c r="AE44" s="22"/>
      <c r="AF44" s="21"/>
      <c r="AG44" s="141"/>
      <c r="AH44" s="24"/>
      <c r="AI44" s="25"/>
      <c r="AJ44" s="24"/>
      <c r="AK44" s="142"/>
      <c r="AL44" s="21"/>
      <c r="AM44" s="22"/>
      <c r="AN44" s="21"/>
      <c r="AO44" s="23"/>
      <c r="AP44" s="24">
        <v>1.4125697777300183</v>
      </c>
      <c r="AQ44" s="30">
        <v>24.7</v>
      </c>
      <c r="AR44" s="68">
        <f>(AP44-0.01*AQ44)/AQ44</f>
        <v>4.7189059827126248E-2</v>
      </c>
      <c r="AS44" s="26">
        <f xml:space="preserve"> LOG(AR44*1000)</f>
        <v>1.673841324747938</v>
      </c>
      <c r="AT44" s="21">
        <v>3.8698360357043007</v>
      </c>
      <c r="AU44" s="29">
        <v>62.34</v>
      </c>
      <c r="AV44" s="67">
        <f t="shared" ref="AV44:AV45" si="5">(AT44-0.01*AU44)/AU44</f>
        <v>5.2076291878477711E-2</v>
      </c>
      <c r="AW44" s="23">
        <f t="shared" si="4"/>
        <v>1.7166400524793117</v>
      </c>
      <c r="AX44" s="24"/>
      <c r="AY44" s="25"/>
      <c r="AZ44" s="24"/>
      <c r="BA44" s="142"/>
      <c r="BB44" s="21"/>
      <c r="BC44" s="22"/>
      <c r="BD44" s="21"/>
      <c r="BE44" s="23"/>
      <c r="BF44" s="24"/>
      <c r="BG44" s="25"/>
      <c r="BH44" s="24"/>
      <c r="BI44" s="142"/>
      <c r="BJ44" s="37"/>
      <c r="BK44" s="66">
        <v>10</v>
      </c>
      <c r="BL44" s="34"/>
    </row>
    <row r="45" spans="1:103" s="6" customFormat="1" ht="12" x14ac:dyDescent="0.3">
      <c r="A45" s="43" t="s">
        <v>25</v>
      </c>
      <c r="B45" s="51" t="s">
        <v>153</v>
      </c>
      <c r="C45" s="59">
        <v>65.775378732815412</v>
      </c>
      <c r="D45" s="44">
        <v>3.32</v>
      </c>
      <c r="E45" s="135">
        <v>6.7</v>
      </c>
      <c r="F45" s="21">
        <v>2.566219052268929</v>
      </c>
      <c r="G45" s="29">
        <v>15.46</v>
      </c>
      <c r="H45" s="67">
        <f>(F45-0.01*G45)/G45</f>
        <v>0.15599088307043527</v>
      </c>
      <c r="I45" s="23">
        <f xml:space="preserve"> LOG(H45*1000)</f>
        <v>2.1930992166371239</v>
      </c>
      <c r="J45" s="24"/>
      <c r="K45" s="25"/>
      <c r="L45" s="68"/>
      <c r="M45" s="26"/>
      <c r="N45" s="21">
        <v>3.36274423768206</v>
      </c>
      <c r="O45" s="29">
        <v>229.04</v>
      </c>
      <c r="P45" s="82">
        <f>(N45-0.01*O45)/O45</f>
        <v>4.6819081281962108E-3</v>
      </c>
      <c r="Q45" s="27">
        <f xml:space="preserve"> LOG(P45*1000)</f>
        <v>0.67042288740227718</v>
      </c>
      <c r="R45" s="24">
        <v>0.26496440054152171</v>
      </c>
      <c r="S45" s="30">
        <v>9.64</v>
      </c>
      <c r="T45" s="83">
        <f>(R45-0.01*S45)/S45</f>
        <v>1.7485933666132953E-2</v>
      </c>
      <c r="U45" s="31">
        <f xml:space="preserve"> LOG(T45*1000)</f>
        <v>1.2426888265350988</v>
      </c>
      <c r="V45" s="21"/>
      <c r="W45" s="29"/>
      <c r="X45" s="82"/>
      <c r="Y45" s="23"/>
      <c r="Z45" s="24">
        <v>1.3406912866998439</v>
      </c>
      <c r="AA45" s="30">
        <v>99.09</v>
      </c>
      <c r="AB45" s="83">
        <f>(Z45-0.01*AA45)/AA45</f>
        <v>3.5300361963855479E-3</v>
      </c>
      <c r="AC45" s="26">
        <f xml:space="preserve"> LOG(AB45*1000)</f>
        <v>0.54777915859176407</v>
      </c>
      <c r="AD45" s="21">
        <v>0.67287473368174855</v>
      </c>
      <c r="AE45" s="29">
        <v>14.32</v>
      </c>
      <c r="AF45" s="67">
        <f>(AD45-0.01*AE45)/AE45</f>
        <v>3.6988459055988028E-2</v>
      </c>
      <c r="AG45" s="23">
        <f xml:space="preserve"> LOG(AF45*1000)</f>
        <v>1.568066238927692</v>
      </c>
      <c r="AH45" s="24">
        <v>37.686909775076934</v>
      </c>
      <c r="AI45" s="30">
        <v>284.66000000000003</v>
      </c>
      <c r="AJ45" s="68">
        <f>(AH45-0.01*AI45)/AI45</f>
        <v>0.12239271332493827</v>
      </c>
      <c r="AK45" s="26">
        <f xml:space="preserve"> LOG(AJ45*1000)</f>
        <v>2.0877555627689355</v>
      </c>
      <c r="AL45" s="21">
        <v>0.92044176340619321</v>
      </c>
      <c r="AM45" s="29">
        <v>5.98</v>
      </c>
      <c r="AN45" s="67">
        <f>(AL45-0.01*AM45)/AM45</f>
        <v>0.14392002732545037</v>
      </c>
      <c r="AO45" s="23">
        <f xml:space="preserve"> LOG(AN45*1000)</f>
        <v>2.158121232795049</v>
      </c>
      <c r="AP45" s="24">
        <v>2.8146623714845909</v>
      </c>
      <c r="AQ45" s="30">
        <v>30.91</v>
      </c>
      <c r="AR45" s="68">
        <f>(AP45-0.01*AQ45)/AQ45</f>
        <v>8.1059927903092563E-2</v>
      </c>
      <c r="AS45" s="26">
        <f xml:space="preserve"> LOG(AR45*1000)</f>
        <v>1.9088062131325063</v>
      </c>
      <c r="AT45" s="21">
        <v>1.7838190044343052</v>
      </c>
      <c r="AU45" s="29">
        <v>22.58</v>
      </c>
      <c r="AV45" s="67">
        <f t="shared" si="5"/>
        <v>6.8999955909402361E-2</v>
      </c>
      <c r="AW45" s="23">
        <f t="shared" si="4"/>
        <v>1.8388488132255252</v>
      </c>
      <c r="AX45" s="24"/>
      <c r="AY45" s="25"/>
      <c r="AZ45" s="24"/>
      <c r="BA45" s="26"/>
      <c r="BB45" s="21">
        <v>11.035520872347496</v>
      </c>
      <c r="BC45" s="29">
        <v>128.44999999999999</v>
      </c>
      <c r="BD45" s="67">
        <f>(BB45-0.01*BC45)/BC45</f>
        <v>7.5912969033456568E-2</v>
      </c>
      <c r="BE45" s="23">
        <f xml:space="preserve"> LOG(BD45*1000)</f>
        <v>1.8803159774569855</v>
      </c>
      <c r="BF45" s="24"/>
      <c r="BG45" s="25"/>
      <c r="BH45" s="24"/>
      <c r="BI45" s="26"/>
      <c r="BJ45" s="37"/>
      <c r="BK45" s="66">
        <v>10</v>
      </c>
      <c r="BL45" s="34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</row>
    <row r="46" spans="1:103" s="2" customFormat="1" ht="12" x14ac:dyDescent="0.3">
      <c r="A46" s="43" t="s">
        <v>52</v>
      </c>
      <c r="B46" s="51" t="s">
        <v>154</v>
      </c>
      <c r="C46" s="59">
        <v>25.108900734134409</v>
      </c>
      <c r="D46" s="44">
        <v>3.8</v>
      </c>
      <c r="E46" s="135">
        <v>7.1</v>
      </c>
      <c r="F46" s="21"/>
      <c r="G46" s="22"/>
      <c r="H46" s="67"/>
      <c r="I46" s="23"/>
      <c r="J46" s="24"/>
      <c r="K46" s="25"/>
      <c r="L46" s="68"/>
      <c r="M46" s="26"/>
      <c r="N46" s="21">
        <v>0.35040055361870909</v>
      </c>
      <c r="O46" s="29">
        <v>9.02</v>
      </c>
      <c r="P46" s="82">
        <f>(N46-0.01*O46)/O46</f>
        <v>2.8847068028681717E-2</v>
      </c>
      <c r="Q46" s="27">
        <f xml:space="preserve"> LOG(P46*1000)</f>
        <v>1.4601016787162724</v>
      </c>
      <c r="R46" s="24"/>
      <c r="S46" s="25"/>
      <c r="T46" s="28"/>
      <c r="U46" s="31"/>
      <c r="V46" s="21">
        <v>2.4028710729680363</v>
      </c>
      <c r="W46" s="29">
        <v>23.98</v>
      </c>
      <c r="X46" s="67">
        <f>(V46-0.01*W46)/W46</f>
        <v>9.0203130649209193E-2</v>
      </c>
      <c r="Y46" s="23">
        <f xml:space="preserve"> LOG(X46*1000)</f>
        <v>1.9552216107135831</v>
      </c>
      <c r="Z46" s="24">
        <v>0.39020912217388637</v>
      </c>
      <c r="AA46" s="30">
        <v>6.56</v>
      </c>
      <c r="AB46" s="68">
        <f t="shared" ref="AB46:AB47" si="6">(Z46-0.01*AA46)/AA46</f>
        <v>4.9483097892360731E-2</v>
      </c>
      <c r="AC46" s="26">
        <f xml:space="preserve"> LOG(AB46*1000)</f>
        <v>1.6944568808407243</v>
      </c>
      <c r="AD46" s="21"/>
      <c r="AE46" s="22"/>
      <c r="AF46" s="21"/>
      <c r="AG46" s="23"/>
      <c r="AH46" s="24"/>
      <c r="AI46" s="25"/>
      <c r="AJ46" s="24"/>
      <c r="AK46" s="26"/>
      <c r="AL46" s="21"/>
      <c r="AM46" s="22"/>
      <c r="AN46" s="21"/>
      <c r="AO46" s="23"/>
      <c r="AP46" s="24">
        <v>1.4165223804038183</v>
      </c>
      <c r="AQ46" s="30">
        <v>1.1599999999999999</v>
      </c>
      <c r="AR46" s="68">
        <f>(AP46-0.01*AQ46)/AQ46</f>
        <v>1.21113998310674</v>
      </c>
      <c r="AS46" s="26">
        <f xml:space="preserve"> LOG(AR46*1000)</f>
        <v>3.0831943416380265</v>
      </c>
      <c r="AT46" s="21">
        <v>6.3935163409760642</v>
      </c>
      <c r="AU46" s="29">
        <v>39.71</v>
      </c>
      <c r="AV46" s="67">
        <f t="shared" ref="AV46:AV55" si="7">(AT46-0.01*AU46)/AU46</f>
        <v>0.15100519619682862</v>
      </c>
      <c r="AW46" s="23">
        <f t="shared" si="4"/>
        <v>2.1789918919341105</v>
      </c>
      <c r="AX46" s="24"/>
      <c r="AY46" s="25"/>
      <c r="AZ46" s="24"/>
      <c r="BA46" s="26"/>
      <c r="BB46" s="21"/>
      <c r="BC46" s="22"/>
      <c r="BD46" s="21"/>
      <c r="BE46" s="23"/>
      <c r="BF46" s="24"/>
      <c r="BG46" s="25"/>
      <c r="BH46" s="24"/>
      <c r="BI46" s="26"/>
      <c r="BJ46" s="37"/>
      <c r="BK46" s="66">
        <v>10</v>
      </c>
      <c r="BL46" s="34"/>
    </row>
    <row r="47" spans="1:103" s="6" customFormat="1" ht="12" x14ac:dyDescent="0.3">
      <c r="A47" s="43" t="s">
        <v>54</v>
      </c>
      <c r="B47" s="51" t="s">
        <v>155</v>
      </c>
      <c r="C47" s="59">
        <v>11.565099114498807</v>
      </c>
      <c r="D47" s="44">
        <v>3.15</v>
      </c>
      <c r="E47" s="135">
        <v>7.1</v>
      </c>
      <c r="F47" s="21"/>
      <c r="G47" s="22"/>
      <c r="H47" s="67"/>
      <c r="I47" s="23"/>
      <c r="J47" s="24"/>
      <c r="K47" s="25"/>
      <c r="L47" s="68"/>
      <c r="M47" s="26"/>
      <c r="N47" s="21">
        <v>0.44932804284879657</v>
      </c>
      <c r="O47" s="29">
        <v>16.815134560347111</v>
      </c>
      <c r="P47" s="82">
        <f>(N47-0.01*O47)/O47</f>
        <v>1.6721644197150047E-2</v>
      </c>
      <c r="Q47" s="27">
        <f xml:space="preserve"> LOG(P47*1000)</f>
        <v>1.2232789782849434</v>
      </c>
      <c r="R47" s="24"/>
      <c r="S47" s="25"/>
      <c r="T47" s="28"/>
      <c r="U47" s="31"/>
      <c r="V47" s="21">
        <v>1.175078395355464</v>
      </c>
      <c r="W47" s="29">
        <v>46.870755568550599</v>
      </c>
      <c r="X47" s="67">
        <f>(V47-0.01*W47)/W47</f>
        <v>1.5070609191201508E-2</v>
      </c>
      <c r="Y47" s="23">
        <f xml:space="preserve"> LOG(X47*1000)</f>
        <v>1.1781308079237833</v>
      </c>
      <c r="Z47" s="24">
        <v>0.35523092950595714</v>
      </c>
      <c r="AA47" s="30">
        <v>15.469073695938896</v>
      </c>
      <c r="AB47" s="68">
        <f t="shared" si="6"/>
        <v>1.2963943186799614E-2</v>
      </c>
      <c r="AC47" s="26">
        <f xml:space="preserve"> LOG(AB47*1000)</f>
        <v>1.1127371191116773</v>
      </c>
      <c r="AD47" s="21"/>
      <c r="AE47" s="22"/>
      <c r="AF47" s="21"/>
      <c r="AG47" s="23"/>
      <c r="AH47" s="24"/>
      <c r="AI47" s="25"/>
      <c r="AJ47" s="24"/>
      <c r="AK47" s="26"/>
      <c r="AL47" s="21">
        <v>1.3804194401453471</v>
      </c>
      <c r="AM47" s="29">
        <v>12.890518578350669</v>
      </c>
      <c r="AN47" s="67">
        <f>(AL47-0.01*AM47)/AM47</f>
        <v>9.7087967932006247E-2</v>
      </c>
      <c r="AO47" s="23">
        <f xml:space="preserve"> LOG(AN47*1000)</f>
        <v>1.987165411323899</v>
      </c>
      <c r="AP47" s="24">
        <v>0.11224256583398036</v>
      </c>
      <c r="AQ47" s="30">
        <v>1.7393226710134244</v>
      </c>
      <c r="AR47" s="68">
        <f>(AP47-0.01*AQ47)/AQ47</f>
        <v>5.4532342218354291E-2</v>
      </c>
      <c r="AS47" s="26">
        <f xml:space="preserve"> LOG(AR47*1000)</f>
        <v>1.7366541514675149</v>
      </c>
      <c r="AT47" s="21">
        <v>4.183068209150675</v>
      </c>
      <c r="AU47" s="29">
        <v>65.820437789396678</v>
      </c>
      <c r="AV47" s="67">
        <f t="shared" si="7"/>
        <v>5.3552725409318762E-2</v>
      </c>
      <c r="AW47" s="23">
        <f t="shared" si="4"/>
        <v>1.728781577877657</v>
      </c>
      <c r="AX47" s="24"/>
      <c r="AY47" s="25"/>
      <c r="AZ47" s="24"/>
      <c r="BA47" s="26"/>
      <c r="BB47" s="21"/>
      <c r="BC47" s="22"/>
      <c r="BD47" s="21"/>
      <c r="BE47" s="23"/>
      <c r="BF47" s="24"/>
      <c r="BG47" s="25"/>
      <c r="BH47" s="24"/>
      <c r="BI47" s="26"/>
      <c r="BJ47" s="37"/>
      <c r="BK47" s="66">
        <v>10</v>
      </c>
      <c r="BL47" s="34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</row>
    <row r="48" spans="1:103" s="6" customFormat="1" ht="12" x14ac:dyDescent="0.3">
      <c r="A48" s="43" t="s">
        <v>77</v>
      </c>
      <c r="B48" s="51" t="s">
        <v>156</v>
      </c>
      <c r="C48" s="58">
        <v>21.435642428882797</v>
      </c>
      <c r="D48" s="45">
        <v>2.64</v>
      </c>
      <c r="E48" s="135">
        <v>7.2</v>
      </c>
      <c r="F48" s="21"/>
      <c r="G48" s="22"/>
      <c r="H48" s="67"/>
      <c r="I48" s="23"/>
      <c r="J48" s="24"/>
      <c r="K48" s="25"/>
      <c r="L48" s="68"/>
      <c r="M48" s="26"/>
      <c r="N48" s="21">
        <v>1.0507377409215997</v>
      </c>
      <c r="O48" s="29">
        <v>18.700879705290571</v>
      </c>
      <c r="P48" s="82">
        <f>(N48-0.01*O48)/O48</f>
        <v>4.6186540819485658E-2</v>
      </c>
      <c r="Q48" s="27">
        <f xml:space="preserve"> LOG(P48*1000)</f>
        <v>1.6645154366075336</v>
      </c>
      <c r="R48" s="24"/>
      <c r="S48" s="25"/>
      <c r="T48" s="28"/>
      <c r="U48" s="31"/>
      <c r="V48" s="21">
        <v>1.8807497601271381</v>
      </c>
      <c r="W48" s="29">
        <v>93.269909302784299</v>
      </c>
      <c r="X48" s="67">
        <f>(V48-0.01*W48)/W48</f>
        <v>1.0164592998816113E-2</v>
      </c>
      <c r="Y48" s="23">
        <f xml:space="preserve"> LOG(X48*1000)</f>
        <v>1.0070899937062718</v>
      </c>
      <c r="Z48" s="24">
        <v>0.34982471505825008</v>
      </c>
      <c r="AA48" s="30">
        <v>14.449715280291384</v>
      </c>
      <c r="AB48" s="68">
        <f>(Z48-0.01*AA48)/AA48</f>
        <v>1.4209799866118589E-2</v>
      </c>
      <c r="AC48" s="26">
        <f xml:space="preserve"> LOG(AB48*1000)</f>
        <v>1.1525879612735348</v>
      </c>
      <c r="AD48" s="21"/>
      <c r="AE48" s="22"/>
      <c r="AF48" s="21"/>
      <c r="AG48" s="23"/>
      <c r="AH48" s="24"/>
      <c r="AI48" s="25"/>
      <c r="AJ48" s="24"/>
      <c r="AK48" s="26"/>
      <c r="AL48" s="21">
        <v>1.1674571380889125</v>
      </c>
      <c r="AM48" s="29">
        <v>10.646270355821256</v>
      </c>
      <c r="AN48" s="67">
        <f>(AL48-0.01*AM48)/AM48</f>
        <v>9.965879120762329E-2</v>
      </c>
      <c r="AO48" s="23">
        <f xml:space="preserve"> LOG(AN48*1000)</f>
        <v>1.9985156151745651</v>
      </c>
      <c r="AP48" s="24"/>
      <c r="AQ48" s="25"/>
      <c r="AR48" s="24"/>
      <c r="AS48" s="26"/>
      <c r="AT48" s="21">
        <v>10.111607149710906</v>
      </c>
      <c r="AU48" s="29">
        <v>260.0177207310802</v>
      </c>
      <c r="AV48" s="67">
        <f t="shared" si="7"/>
        <v>2.8888146243573526E-2</v>
      </c>
      <c r="AW48" s="23">
        <f t="shared" si="4"/>
        <v>1.4607196740000576</v>
      </c>
      <c r="AX48" s="24">
        <v>0.77149625468008465</v>
      </c>
      <c r="AY48" s="30">
        <v>1.4062449355016133</v>
      </c>
      <c r="AZ48" s="68">
        <f>(AX48-0.01*AY48)/AY48</f>
        <v>0.53862153470077301</v>
      </c>
      <c r="BA48" s="26">
        <f xml:space="preserve"> LOG(AZ48*1000)</f>
        <v>2.7312837130093066</v>
      </c>
      <c r="BB48" s="21"/>
      <c r="BC48" s="22"/>
      <c r="BD48" s="21"/>
      <c r="BE48" s="23"/>
      <c r="BF48" s="24">
        <v>3.9351021882216655</v>
      </c>
      <c r="BG48" s="30">
        <v>5.5040140904207497</v>
      </c>
      <c r="BH48" s="68">
        <f>(BF48-0.01*BG48)/BG48</f>
        <v>0.70495132889836953</v>
      </c>
      <c r="BI48" s="26">
        <f xml:space="preserve"> LOG(BH48*1000)</f>
        <v>2.8481591335580116</v>
      </c>
      <c r="BJ48" s="47"/>
      <c r="BK48" s="66">
        <v>10</v>
      </c>
      <c r="BL48" s="34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</row>
    <row r="49" spans="1:103" s="2" customFormat="1" ht="12" x14ac:dyDescent="0.3">
      <c r="A49" s="43" t="s">
        <v>78</v>
      </c>
      <c r="B49" s="51" t="s">
        <v>157</v>
      </c>
      <c r="C49" s="58">
        <v>4.0962408989964096</v>
      </c>
      <c r="D49" s="45">
        <v>7.07</v>
      </c>
      <c r="E49" s="135">
        <v>4.4000000000000004</v>
      </c>
      <c r="F49" s="21"/>
      <c r="G49" s="22"/>
      <c r="H49" s="67"/>
      <c r="I49" s="23"/>
      <c r="J49" s="24"/>
      <c r="K49" s="25"/>
      <c r="L49" s="68"/>
      <c r="M49" s="26"/>
      <c r="N49" s="21"/>
      <c r="O49" s="22"/>
      <c r="P49" s="38"/>
      <c r="Q49" s="27"/>
      <c r="R49" s="24"/>
      <c r="S49" s="25"/>
      <c r="T49" s="28"/>
      <c r="U49" s="31"/>
      <c r="V49" s="21"/>
      <c r="W49" s="22"/>
      <c r="X49" s="67"/>
      <c r="Y49" s="23"/>
      <c r="Z49" s="24"/>
      <c r="AA49" s="25"/>
      <c r="AB49" s="68"/>
      <c r="AC49" s="26"/>
      <c r="AD49" s="21"/>
      <c r="AE49" s="22"/>
      <c r="AF49" s="21"/>
      <c r="AG49" s="23"/>
      <c r="AH49" s="24"/>
      <c r="AI49" s="25"/>
      <c r="AJ49" s="24"/>
      <c r="AK49" s="26"/>
      <c r="AL49" s="21"/>
      <c r="AM49" s="22"/>
      <c r="AN49" s="21"/>
      <c r="AO49" s="23"/>
      <c r="AP49" s="24">
        <v>0.32570721868279229</v>
      </c>
      <c r="AQ49" s="30">
        <v>3.94</v>
      </c>
      <c r="AR49" s="68">
        <f>(AP49-0.01*AQ49)/AQ49</f>
        <v>7.2666806772282308E-2</v>
      </c>
      <c r="AS49" s="26">
        <f xml:space="preserve"> LOG(AR49*1000)</f>
        <v>1.8613360762294897</v>
      </c>
      <c r="AT49" s="21">
        <v>1.1868478624167729</v>
      </c>
      <c r="AU49" s="29">
        <v>30.890368078316147</v>
      </c>
      <c r="AV49" s="67">
        <f t="shared" si="7"/>
        <v>2.8421292339662809E-2</v>
      </c>
      <c r="AW49" s="23">
        <f t="shared" si="4"/>
        <v>1.4536438217696255</v>
      </c>
      <c r="AX49" s="24"/>
      <c r="AY49" s="25"/>
      <c r="AZ49" s="24"/>
      <c r="BA49" s="26"/>
      <c r="BB49" s="21"/>
      <c r="BC49" s="22"/>
      <c r="BD49" s="21"/>
      <c r="BE49" s="23"/>
      <c r="BF49" s="24">
        <v>1.0765060150163051</v>
      </c>
      <c r="BG49" s="30">
        <v>2.3004423054932355</v>
      </c>
      <c r="BH49" s="68">
        <f>(BF49-0.01*BG49)/BG49</f>
        <v>0.45795610237462242</v>
      </c>
      <c r="BI49" s="26">
        <f xml:space="preserve"> LOG(BH49*1000)</f>
        <v>2.6608238504707695</v>
      </c>
      <c r="BJ49" s="47"/>
      <c r="BK49" s="66">
        <v>10</v>
      </c>
      <c r="BL49" s="34"/>
    </row>
    <row r="50" spans="1:103" s="6" customFormat="1" ht="12" x14ac:dyDescent="0.3">
      <c r="A50" s="43" t="s">
        <v>79</v>
      </c>
      <c r="B50" s="51" t="s">
        <v>158</v>
      </c>
      <c r="C50" s="58">
        <v>9.5313167148230953</v>
      </c>
      <c r="D50" s="45">
        <v>8.61</v>
      </c>
      <c r="E50" s="135">
        <v>6.8</v>
      </c>
      <c r="F50" s="21"/>
      <c r="G50" s="22"/>
      <c r="H50" s="67"/>
      <c r="I50" s="23"/>
      <c r="J50" s="24"/>
      <c r="K50" s="25"/>
      <c r="L50" s="68"/>
      <c r="M50" s="26"/>
      <c r="N50" s="21">
        <v>0.3151428606742952</v>
      </c>
      <c r="O50" s="29">
        <v>3.6280862325703662</v>
      </c>
      <c r="P50" s="82">
        <f>(N50-0.01*O50)/O50</f>
        <v>7.6862009465256842E-2</v>
      </c>
      <c r="Q50" s="27">
        <f xml:space="preserve"> LOG(P50*1000)</f>
        <v>1.8857117343862624</v>
      </c>
      <c r="R50" s="24"/>
      <c r="S50" s="25"/>
      <c r="T50" s="28"/>
      <c r="U50" s="31"/>
      <c r="V50" s="21">
        <v>1.0203256487962284</v>
      </c>
      <c r="W50" s="29">
        <v>25.055123674943811</v>
      </c>
      <c r="X50" s="67">
        <f>(V50-0.01*W50)/W50</f>
        <v>3.0723233380667663E-2</v>
      </c>
      <c r="Y50" s="23">
        <f xml:space="preserve"> LOG(X50*1000)</f>
        <v>1.4874669198714094</v>
      </c>
      <c r="Z50" s="24">
        <v>0.35925545641543166</v>
      </c>
      <c r="AA50" s="30">
        <v>3.3159762444184864</v>
      </c>
      <c r="AB50" s="68">
        <f>(Z50-0.01*AA50)/AA50</f>
        <v>9.8340781095804658E-2</v>
      </c>
      <c r="AC50" s="26">
        <f xml:space="preserve"> LOG(AB50*1000)</f>
        <v>1.9927336534584197</v>
      </c>
      <c r="AD50" s="21"/>
      <c r="AE50" s="22"/>
      <c r="AF50" s="21"/>
      <c r="AG50" s="23"/>
      <c r="AH50" s="24"/>
      <c r="AI50" s="25"/>
      <c r="AJ50" s="24"/>
      <c r="AK50" s="26"/>
      <c r="AL50" s="21"/>
      <c r="AM50" s="22"/>
      <c r="AN50" s="21"/>
      <c r="AO50" s="23"/>
      <c r="AP50" s="24"/>
      <c r="AQ50" s="25"/>
      <c r="AR50" s="68"/>
      <c r="AS50" s="26"/>
      <c r="AT50" s="21">
        <v>3.0880115217728887</v>
      </c>
      <c r="AU50" s="29">
        <v>16.66957841103666</v>
      </c>
      <c r="AV50" s="67">
        <f t="shared" si="7"/>
        <v>0.17524832755988393</v>
      </c>
      <c r="AW50" s="23">
        <f t="shared" si="4"/>
        <v>2.243653882073906</v>
      </c>
      <c r="AX50" s="24"/>
      <c r="AY50" s="25"/>
      <c r="AZ50" s="24"/>
      <c r="BA50" s="26"/>
      <c r="BB50" s="21"/>
      <c r="BC50" s="22"/>
      <c r="BD50" s="21"/>
      <c r="BE50" s="23"/>
      <c r="BF50" s="24"/>
      <c r="BG50" s="25"/>
      <c r="BH50" s="24"/>
      <c r="BI50" s="26"/>
      <c r="BJ50" s="37"/>
      <c r="BK50" s="66">
        <v>10</v>
      </c>
      <c r="BL50" s="34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</row>
    <row r="51" spans="1:103" s="2" customFormat="1" ht="12" x14ac:dyDescent="0.3">
      <c r="A51" s="43" t="s">
        <v>80</v>
      </c>
      <c r="B51" s="51" t="s">
        <v>159</v>
      </c>
      <c r="C51" s="58">
        <v>5.4015862906556302</v>
      </c>
      <c r="D51" s="45">
        <v>2.57</v>
      </c>
      <c r="E51" s="135">
        <v>4.3</v>
      </c>
      <c r="F51" s="21"/>
      <c r="G51" s="22"/>
      <c r="H51" s="67"/>
      <c r="I51" s="23"/>
      <c r="J51" s="24"/>
      <c r="K51" s="25"/>
      <c r="L51" s="68"/>
      <c r="M51" s="26"/>
      <c r="N51" s="21"/>
      <c r="O51" s="22"/>
      <c r="P51" s="38"/>
      <c r="Q51" s="27"/>
      <c r="R51" s="24"/>
      <c r="S51" s="25"/>
      <c r="T51" s="28"/>
      <c r="U51" s="31"/>
      <c r="V51" s="21"/>
      <c r="W51" s="22"/>
      <c r="X51" s="67"/>
      <c r="Y51" s="23"/>
      <c r="Z51" s="24"/>
      <c r="AA51" s="25"/>
      <c r="AB51" s="68"/>
      <c r="AC51" s="26"/>
      <c r="AD51" s="21">
        <v>2.2940977514041996</v>
      </c>
      <c r="AE51" s="29">
        <v>3.2342430284218686</v>
      </c>
      <c r="AF51" s="67">
        <f>(AD51-0.01*AE51)/AE51</f>
        <v>0.69931520335489195</v>
      </c>
      <c r="AG51" s="23">
        <f xml:space="preserve"> LOG(AF51*1000)</f>
        <v>2.8446729700554294</v>
      </c>
      <c r="AH51" s="24"/>
      <c r="AI51" s="25"/>
      <c r="AJ51" s="24"/>
      <c r="AK51" s="26"/>
      <c r="AL51" s="21"/>
      <c r="AM51" s="22"/>
      <c r="AN51" s="21"/>
      <c r="AO51" s="23"/>
      <c r="AP51" s="24"/>
      <c r="AQ51" s="25"/>
      <c r="AR51" s="24"/>
      <c r="AS51" s="26"/>
      <c r="AT51" s="21">
        <v>0.1818732524506875</v>
      </c>
      <c r="AU51" s="29">
        <v>7.3931043231998057</v>
      </c>
      <c r="AV51" s="67">
        <f t="shared" si="7"/>
        <v>1.4600390377282141E-2</v>
      </c>
      <c r="AW51" s="23">
        <f t="shared" si="4"/>
        <v>1.1643644678688863</v>
      </c>
      <c r="AX51" s="24"/>
      <c r="AY51" s="25"/>
      <c r="AZ51" s="24"/>
      <c r="BA51" s="26"/>
      <c r="BB51" s="21"/>
      <c r="BC51" s="22"/>
      <c r="BD51" s="21"/>
      <c r="BE51" s="23"/>
      <c r="BF51" s="24"/>
      <c r="BG51" s="25"/>
      <c r="BH51" s="24"/>
      <c r="BI51" s="26"/>
      <c r="BJ51" s="37"/>
      <c r="BK51" s="66">
        <v>10</v>
      </c>
      <c r="BL51" s="34"/>
    </row>
    <row r="52" spans="1:103" s="6" customFormat="1" ht="12" x14ac:dyDescent="0.3">
      <c r="A52" s="43" t="s">
        <v>81</v>
      </c>
      <c r="B52" s="51" t="s">
        <v>160</v>
      </c>
      <c r="C52" s="58">
        <v>27.649641352663913</v>
      </c>
      <c r="D52" s="45">
        <v>1.92</v>
      </c>
      <c r="E52" s="135">
        <v>7.1</v>
      </c>
      <c r="F52" s="21"/>
      <c r="G52" s="22"/>
      <c r="H52" s="67"/>
      <c r="I52" s="23"/>
      <c r="J52" s="24">
        <v>0.47079069475147328</v>
      </c>
      <c r="K52" s="30">
        <v>8.3033652651083827</v>
      </c>
      <c r="L52" s="68">
        <f>(J52-0.01*K52)/K52</f>
        <v>4.6698781725258494E-2</v>
      </c>
      <c r="M52" s="26">
        <f xml:space="preserve"> LOG(L52*1000)</f>
        <v>1.6693055508680597</v>
      </c>
      <c r="N52" s="21"/>
      <c r="O52" s="22"/>
      <c r="P52" s="82"/>
      <c r="Q52" s="27"/>
      <c r="R52" s="24"/>
      <c r="S52" s="25"/>
      <c r="T52" s="28"/>
      <c r="U52" s="31"/>
      <c r="V52" s="21">
        <v>1.0508194309029064</v>
      </c>
      <c r="W52" s="29">
        <v>13.847997338710995</v>
      </c>
      <c r="X52" s="67">
        <f>(V52-0.01*W52)/W52</f>
        <v>6.5882411384166201E-2</v>
      </c>
      <c r="Y52" s="23">
        <f xml:space="preserve"> LOG(X52*1000)</f>
        <v>1.818769486546161</v>
      </c>
      <c r="Z52" s="24"/>
      <c r="AA52" s="25"/>
      <c r="AB52" s="68"/>
      <c r="AC52" s="26"/>
      <c r="AD52" s="21"/>
      <c r="AE52" s="22"/>
      <c r="AF52" s="21"/>
      <c r="AG52" s="23"/>
      <c r="AH52" s="24"/>
      <c r="AI52" s="25"/>
      <c r="AJ52" s="24"/>
      <c r="AK52" s="26"/>
      <c r="AL52" s="21"/>
      <c r="AM52" s="22"/>
      <c r="AN52" s="21"/>
      <c r="AO52" s="23"/>
      <c r="AP52" s="24">
        <v>17.443849744830793</v>
      </c>
      <c r="AQ52" s="30">
        <v>8.5</v>
      </c>
      <c r="AR52" s="68">
        <f>(AP52-0.01*AQ52)/AQ52</f>
        <v>2.0422176170389168</v>
      </c>
      <c r="AS52" s="26">
        <f xml:space="preserve"> LOG(AR52*1000)</f>
        <v>3.31010201828152</v>
      </c>
      <c r="AT52" s="144">
        <v>3.4719292548622729</v>
      </c>
      <c r="AU52" s="29">
        <v>12.350057406950532</v>
      </c>
      <c r="AV52" s="67">
        <f t="shared" si="7"/>
        <v>0.27112656811686509</v>
      </c>
      <c r="AW52" s="23">
        <f t="shared" si="4"/>
        <v>2.4331720768619252</v>
      </c>
      <c r="AX52" s="24"/>
      <c r="AY52" s="25"/>
      <c r="AZ52" s="24"/>
      <c r="BA52" s="26"/>
      <c r="BB52" s="21"/>
      <c r="BC52" s="22"/>
      <c r="BD52" s="21"/>
      <c r="BE52" s="23"/>
      <c r="BF52" s="24"/>
      <c r="BG52" s="25"/>
      <c r="BH52" s="24"/>
      <c r="BI52" s="26"/>
      <c r="BJ52" s="37"/>
      <c r="BK52" s="66">
        <v>10</v>
      </c>
      <c r="BL52" s="34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</row>
    <row r="53" spans="1:103" s="2" customFormat="1" ht="12" x14ac:dyDescent="0.3">
      <c r="A53" s="43" t="s">
        <v>82</v>
      </c>
      <c r="B53" s="51" t="s">
        <v>161</v>
      </c>
      <c r="C53" s="58">
        <v>23.200843253620931</v>
      </c>
      <c r="D53" s="45">
        <v>2.0699999999999998</v>
      </c>
      <c r="E53" s="135">
        <v>4.2</v>
      </c>
      <c r="F53" s="21"/>
      <c r="G53" s="22"/>
      <c r="H53" s="67"/>
      <c r="I53" s="23"/>
      <c r="J53" s="24">
        <v>1.5619260164898081</v>
      </c>
      <c r="K53" s="30">
        <v>1.8059266299028636</v>
      </c>
      <c r="L53" s="68">
        <f>(J53-0.01*K53)/K53</f>
        <v>0.85488896648797985</v>
      </c>
      <c r="M53" s="26">
        <f xml:space="preserve"> LOG(L53*1000)</f>
        <v>2.9319097119527999</v>
      </c>
      <c r="N53" s="21">
        <v>2.5203086871869869</v>
      </c>
      <c r="O53" s="29">
        <v>9.7225638109394943</v>
      </c>
      <c r="P53" s="82">
        <f>(N53-0.01*O53)/O53</f>
        <v>0.24922264293613811</v>
      </c>
      <c r="Q53" s="27">
        <f xml:space="preserve"> LOG(P53*1000)</f>
        <v>2.3965874972788197</v>
      </c>
      <c r="R53" s="24"/>
      <c r="S53" s="25"/>
      <c r="T53" s="28"/>
      <c r="U53" s="31"/>
      <c r="V53" s="21">
        <v>1.7392821295510883</v>
      </c>
      <c r="W53" s="29">
        <v>35.861810158455562</v>
      </c>
      <c r="X53" s="67">
        <f>(V53-0.01*W53)/W53</f>
        <v>3.8499563236380499E-2</v>
      </c>
      <c r="Y53" s="23">
        <f xml:space="preserve"> LOG(X53*1000)</f>
        <v>1.585455802622636</v>
      </c>
      <c r="Z53" s="24">
        <v>1.3966255001422292</v>
      </c>
      <c r="AA53" s="30">
        <v>2.8625324570926525</v>
      </c>
      <c r="AB53" s="68">
        <f>(Z53-0.01*AA53)/AA53</f>
        <v>0.4778985727067423</v>
      </c>
      <c r="AC53" s="26">
        <f xml:space="preserve"> LOG(AB53*1000)</f>
        <v>2.6793357334575765</v>
      </c>
      <c r="AD53" s="21"/>
      <c r="AE53" s="22"/>
      <c r="AF53" s="21"/>
      <c r="AG53" s="23"/>
      <c r="AH53" s="24"/>
      <c r="AI53" s="25"/>
      <c r="AJ53" s="24"/>
      <c r="AK53" s="26"/>
      <c r="AL53" s="21"/>
      <c r="AM53" s="22"/>
      <c r="AN53" s="21"/>
      <c r="AO53" s="23"/>
      <c r="AP53" s="24"/>
      <c r="AQ53" s="25"/>
      <c r="AR53" s="24"/>
      <c r="AS53" s="26"/>
      <c r="AT53" s="21">
        <v>5.6687465326429747</v>
      </c>
      <c r="AU53" s="29">
        <v>154.43943652867969</v>
      </c>
      <c r="AV53" s="67">
        <f t="shared" si="7"/>
        <v>2.6705304422619269E-2</v>
      </c>
      <c r="AW53" s="23">
        <f t="shared" si="4"/>
        <v>1.4265975330001632</v>
      </c>
      <c r="AX53" s="24">
        <v>0.44569529886749998</v>
      </c>
      <c r="AY53" s="30">
        <v>4.387953382655251</v>
      </c>
      <c r="AZ53" s="68">
        <f>(AX53-0.01*AY53)/AY53</f>
        <v>9.1572478100895305E-2</v>
      </c>
      <c r="BA53" s="26">
        <f xml:space="preserve"> LOG(AZ53*1000)</f>
        <v>1.961764967064167</v>
      </c>
      <c r="BB53" s="21">
        <v>2.8989064232562627</v>
      </c>
      <c r="BC53" s="29">
        <v>4.5472348929738242</v>
      </c>
      <c r="BD53" s="67">
        <f>(BB53-0.01*BC53)/BC53</f>
        <v>0.62750971557143842</v>
      </c>
      <c r="BE53" s="23">
        <f xml:space="preserve"> LOG(BD53*1000)</f>
        <v>2.7976204542748286</v>
      </c>
      <c r="BF53" s="24">
        <v>3.7790596171451725</v>
      </c>
      <c r="BG53" s="30">
        <v>6.0207927620018102</v>
      </c>
      <c r="BH53" s="68">
        <f>(BF53-0.01*BG53)/BG53</f>
        <v>0.61766811058427795</v>
      </c>
      <c r="BI53" s="26">
        <f xml:space="preserve"> LOG(BH53*1000)</f>
        <v>2.7907551798470247</v>
      </c>
      <c r="BJ53" s="47"/>
      <c r="BK53" s="66">
        <v>10</v>
      </c>
      <c r="BL53" s="34"/>
    </row>
    <row r="54" spans="1:103" s="6" customFormat="1" ht="12" x14ac:dyDescent="0.3">
      <c r="A54" s="43" t="s">
        <v>83</v>
      </c>
      <c r="B54" s="51" t="s">
        <v>162</v>
      </c>
      <c r="C54" s="58">
        <v>2.542651265141469</v>
      </c>
      <c r="D54" s="45">
        <v>2.29</v>
      </c>
      <c r="E54" s="135">
        <v>6</v>
      </c>
      <c r="F54" s="21"/>
      <c r="G54" s="22"/>
      <c r="H54" s="67"/>
      <c r="I54" s="23"/>
      <c r="J54" s="24"/>
      <c r="K54" s="25"/>
      <c r="L54" s="68"/>
      <c r="M54" s="26"/>
      <c r="N54" s="21"/>
      <c r="O54" s="22"/>
      <c r="P54" s="82"/>
      <c r="Q54" s="27"/>
      <c r="R54" s="24"/>
      <c r="S54" s="25"/>
      <c r="T54" s="28"/>
      <c r="U54" s="31"/>
      <c r="V54" s="21"/>
      <c r="W54" s="22"/>
      <c r="X54" s="67"/>
      <c r="Y54" s="23"/>
      <c r="Z54" s="24"/>
      <c r="AA54" s="25"/>
      <c r="AB54" s="68"/>
      <c r="AC54" s="26"/>
      <c r="AD54" s="21"/>
      <c r="AE54" s="22"/>
      <c r="AF54" s="21"/>
      <c r="AG54" s="23"/>
      <c r="AH54" s="24"/>
      <c r="AI54" s="25"/>
      <c r="AJ54" s="24"/>
      <c r="AK54" s="26"/>
      <c r="AL54" s="21"/>
      <c r="AM54" s="22"/>
      <c r="AN54" s="21"/>
      <c r="AO54" s="23"/>
      <c r="AP54" s="24"/>
      <c r="AQ54" s="25"/>
      <c r="AR54" s="68"/>
      <c r="AS54" s="26"/>
      <c r="AT54" s="21">
        <v>0.76461190535985124</v>
      </c>
      <c r="AU54" s="29">
        <v>20.065599308609556</v>
      </c>
      <c r="AV54" s="67">
        <f t="shared" si="7"/>
        <v>2.8105610183882163E-2</v>
      </c>
      <c r="AW54" s="23">
        <f t="shared" si="4"/>
        <v>1.4487930184357998</v>
      </c>
      <c r="AX54" s="24"/>
      <c r="AY54" s="25"/>
      <c r="AZ54" s="24"/>
      <c r="BA54" s="26"/>
      <c r="BB54" s="21"/>
      <c r="BC54" s="22"/>
      <c r="BD54" s="21"/>
      <c r="BE54" s="23"/>
      <c r="BF54" s="24"/>
      <c r="BG54" s="25"/>
      <c r="BH54" s="24"/>
      <c r="BI54" s="26"/>
      <c r="BJ54" s="37"/>
      <c r="BK54" s="66">
        <v>10</v>
      </c>
      <c r="BL54" s="34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</row>
    <row r="55" spans="1:103" s="2" customFormat="1" ht="12" x14ac:dyDescent="0.3">
      <c r="A55" s="43" t="s">
        <v>87</v>
      </c>
      <c r="B55" s="51" t="s">
        <v>163</v>
      </c>
      <c r="C55" s="58">
        <v>4.0956493432711882</v>
      </c>
      <c r="D55" s="45">
        <v>3.48</v>
      </c>
      <c r="E55" s="135">
        <v>5.0999999999999996</v>
      </c>
      <c r="F55" s="21"/>
      <c r="G55" s="22"/>
      <c r="H55" s="67"/>
      <c r="I55" s="23"/>
      <c r="J55" s="24"/>
      <c r="K55" s="25"/>
      <c r="L55" s="68"/>
      <c r="M55" s="26"/>
      <c r="N55" s="21"/>
      <c r="O55" s="22"/>
      <c r="P55" s="82"/>
      <c r="Q55" s="27"/>
      <c r="R55" s="24"/>
      <c r="S55" s="25"/>
      <c r="T55" s="28"/>
      <c r="U55" s="31"/>
      <c r="V55" s="21">
        <v>0.62257245164097963</v>
      </c>
      <c r="W55" s="29">
        <v>14.936490471296342</v>
      </c>
      <c r="X55" s="67">
        <f>(V55-0.01*W55)/W55</f>
        <v>3.1681307455548924E-2</v>
      </c>
      <c r="Y55" s="23">
        <f xml:space="preserve"> LOG(X55*1000)</f>
        <v>1.5008030961817671</v>
      </c>
      <c r="Z55" s="24">
        <v>0.27588878900377417</v>
      </c>
      <c r="AA55" s="30">
        <v>14.98622072312736</v>
      </c>
      <c r="AB55" s="68">
        <f>(Z55-0.01*AA55)/AA55</f>
        <v>8.4094972375531006E-3</v>
      </c>
      <c r="AC55" s="26">
        <f xml:space="preserve"> LOG(AB55*1000)</f>
        <v>0.92477003224461718</v>
      </c>
      <c r="AD55" s="21"/>
      <c r="AE55" s="22"/>
      <c r="AF55" s="21"/>
      <c r="AG55" s="23"/>
      <c r="AH55" s="24"/>
      <c r="AI55" s="25"/>
      <c r="AJ55" s="24"/>
      <c r="AK55" s="26"/>
      <c r="AL55" s="21"/>
      <c r="AM55" s="22"/>
      <c r="AN55" s="21"/>
      <c r="AO55" s="23"/>
      <c r="AP55" s="24"/>
      <c r="AQ55" s="25"/>
      <c r="AR55" s="24"/>
      <c r="AS55" s="26"/>
      <c r="AT55" s="21">
        <v>1.2009282729458843</v>
      </c>
      <c r="AU55" s="29">
        <v>12.217263840140671</v>
      </c>
      <c r="AV55" s="67">
        <f t="shared" si="7"/>
        <v>8.8297645746189979E-2</v>
      </c>
      <c r="AW55" s="23">
        <f t="shared" si="4"/>
        <v>1.9459491242676132</v>
      </c>
      <c r="AX55" s="24"/>
      <c r="AY55" s="25"/>
      <c r="AZ55" s="24"/>
      <c r="BA55" s="26"/>
      <c r="BB55" s="21"/>
      <c r="BC55" s="22"/>
      <c r="BD55" s="21"/>
      <c r="BE55" s="23"/>
      <c r="BF55" s="24"/>
      <c r="BG55" s="25"/>
      <c r="BH55" s="24"/>
      <c r="BI55" s="26"/>
      <c r="BJ55" s="37"/>
      <c r="BK55" s="66">
        <v>10</v>
      </c>
      <c r="BL55" s="34"/>
    </row>
    <row r="56" spans="1:103" s="2" customFormat="1" ht="12" x14ac:dyDescent="0.3">
      <c r="A56" s="43" t="s">
        <v>89</v>
      </c>
      <c r="B56" s="51" t="s">
        <v>164</v>
      </c>
      <c r="C56" s="58">
        <v>1.3212275326230634</v>
      </c>
      <c r="D56" s="45">
        <v>3.34</v>
      </c>
      <c r="E56" s="135">
        <v>5.5</v>
      </c>
      <c r="F56" s="21"/>
      <c r="G56" s="22"/>
      <c r="H56" s="67"/>
      <c r="I56" s="23"/>
      <c r="J56" s="24"/>
      <c r="K56" s="25"/>
      <c r="L56" s="68"/>
      <c r="M56" s="26"/>
      <c r="N56" s="21"/>
      <c r="O56" s="22"/>
      <c r="P56" s="82"/>
      <c r="Q56" s="27"/>
      <c r="R56" s="24"/>
      <c r="S56" s="25"/>
      <c r="T56" s="28"/>
      <c r="U56" s="31"/>
      <c r="V56" s="21"/>
      <c r="W56" s="22"/>
      <c r="X56" s="67"/>
      <c r="Y56" s="23"/>
      <c r="Z56" s="24"/>
      <c r="AA56" s="25"/>
      <c r="AB56" s="68"/>
      <c r="AC56" s="26"/>
      <c r="AD56" s="21"/>
      <c r="AE56" s="22"/>
      <c r="AF56" s="21"/>
      <c r="AG56" s="23"/>
      <c r="AH56" s="24"/>
      <c r="AI56" s="25"/>
      <c r="AJ56" s="24"/>
      <c r="AK56" s="26"/>
      <c r="AL56" s="21"/>
      <c r="AM56" s="22"/>
      <c r="AN56" s="21"/>
      <c r="AO56" s="23"/>
      <c r="AP56" s="24">
        <v>0.26057510932931249</v>
      </c>
      <c r="AQ56" s="30">
        <v>8.8000000000000007</v>
      </c>
      <c r="AR56" s="68">
        <f>(AP56-0.01*AQ56)/AQ56</f>
        <v>1.9610807878330961E-2</v>
      </c>
      <c r="AS56" s="26">
        <f xml:space="preserve"> LOG(AR56*1000)</f>
        <v>1.2924954850433172</v>
      </c>
      <c r="AT56" s="21"/>
      <c r="AU56" s="22"/>
      <c r="AV56" s="67"/>
      <c r="AW56" s="23"/>
      <c r="AX56" s="24"/>
      <c r="AY56" s="25"/>
      <c r="AZ56" s="24"/>
      <c r="BA56" s="26"/>
      <c r="BB56" s="21"/>
      <c r="BC56" s="22"/>
      <c r="BD56" s="21"/>
      <c r="BE56" s="23"/>
      <c r="BF56" s="24"/>
      <c r="BG56" s="25"/>
      <c r="BH56" s="24"/>
      <c r="BI56" s="26"/>
      <c r="BJ56" s="37"/>
      <c r="BK56" s="66">
        <v>10</v>
      </c>
      <c r="BL56" s="34"/>
    </row>
    <row r="57" spans="1:103" s="2" customFormat="1" ht="12" x14ac:dyDescent="0.3">
      <c r="A57" s="43" t="s">
        <v>91</v>
      </c>
      <c r="B57" s="51" t="s">
        <v>165</v>
      </c>
      <c r="C57" s="58">
        <v>5.9496748380468043</v>
      </c>
      <c r="D57" s="45">
        <v>1.83</v>
      </c>
      <c r="E57" s="135">
        <v>4.9000000000000004</v>
      </c>
      <c r="F57" s="21"/>
      <c r="G57" s="22"/>
      <c r="H57" s="67"/>
      <c r="I57" s="23"/>
      <c r="J57" s="24"/>
      <c r="K57" s="25"/>
      <c r="L57" s="68"/>
      <c r="M57" s="26"/>
      <c r="N57" s="21"/>
      <c r="O57" s="22"/>
      <c r="P57" s="82"/>
      <c r="Q57" s="27"/>
      <c r="R57" s="24">
        <v>0.24966862242793947</v>
      </c>
      <c r="S57" s="30">
        <v>0.1505283973578595</v>
      </c>
      <c r="T57" s="83">
        <f>(R57-0.01*S57)/S57</f>
        <v>1.6486147651222807</v>
      </c>
      <c r="U57" s="31">
        <f xml:space="preserve"> LOG(T57*1000)</f>
        <v>3.2171191851003176</v>
      </c>
      <c r="V57" s="21"/>
      <c r="W57" s="22"/>
      <c r="X57" s="67"/>
      <c r="Y57" s="23"/>
      <c r="Z57" s="24"/>
      <c r="AA57" s="25"/>
      <c r="AB57" s="68"/>
      <c r="AC57" s="26"/>
      <c r="AD57" s="21"/>
      <c r="AE57" s="22"/>
      <c r="AF57" s="21"/>
      <c r="AG57" s="23"/>
      <c r="AH57" s="24"/>
      <c r="AI57" s="25"/>
      <c r="AJ57" s="24"/>
      <c r="AK57" s="26"/>
      <c r="AL57" s="21"/>
      <c r="AM57" s="22"/>
      <c r="AN57" s="21"/>
      <c r="AO57" s="23"/>
      <c r="AP57" s="24"/>
      <c r="AQ57" s="25"/>
      <c r="AR57" s="24"/>
      <c r="AS57" s="26"/>
      <c r="AT57" s="21">
        <v>0.59405083713344053</v>
      </c>
      <c r="AU57" s="29">
        <v>0.73057382237257551</v>
      </c>
      <c r="AV57" s="67">
        <f>(AT57-0.01*AU57)/AU57</f>
        <v>0.80312910337278498</v>
      </c>
      <c r="AW57" s="23">
        <f xml:space="preserve"> LOG(AV57*1000)</f>
        <v>2.904785363928251</v>
      </c>
      <c r="AX57" s="24"/>
      <c r="AY57" s="25"/>
      <c r="AZ57" s="24"/>
      <c r="BA57" s="26"/>
      <c r="BB57" s="21"/>
      <c r="BC57" s="22"/>
      <c r="BD57" s="21"/>
      <c r="BE57" s="23"/>
      <c r="BF57" s="24"/>
      <c r="BG57" s="25"/>
      <c r="BH57" s="24"/>
      <c r="BI57" s="26"/>
      <c r="BJ57" s="37"/>
      <c r="BK57" s="66">
        <v>10</v>
      </c>
      <c r="BL57" s="34"/>
    </row>
    <row r="58" spans="1:103" s="6" customFormat="1" ht="12" x14ac:dyDescent="0.3">
      <c r="A58" s="43" t="s">
        <v>92</v>
      </c>
      <c r="B58" s="51" t="s">
        <v>166</v>
      </c>
      <c r="C58" s="58">
        <v>11.15423969230153</v>
      </c>
      <c r="D58" s="45">
        <v>4.12</v>
      </c>
      <c r="E58" s="135">
        <v>5.4</v>
      </c>
      <c r="F58" s="21"/>
      <c r="G58" s="22"/>
      <c r="H58" s="67"/>
      <c r="I58" s="23"/>
      <c r="J58" s="24"/>
      <c r="K58" s="25"/>
      <c r="L58" s="68"/>
      <c r="M58" s="26"/>
      <c r="N58" s="21"/>
      <c r="O58" s="22"/>
      <c r="P58" s="82"/>
      <c r="Q58" s="27"/>
      <c r="R58" s="24">
        <v>0.36908980146997639</v>
      </c>
      <c r="S58" s="30">
        <v>2.6837877805264156</v>
      </c>
      <c r="T58" s="83">
        <f>(R58-0.01*S58)/S58</f>
        <v>0.12752570309325303</v>
      </c>
      <c r="U58" s="31">
        <f xml:space="preserve"> LOG(T58*1000)</f>
        <v>2.1055977266253247</v>
      </c>
      <c r="V58" s="21"/>
      <c r="W58" s="22"/>
      <c r="X58" s="67"/>
      <c r="Y58" s="23"/>
      <c r="Z58" s="24"/>
      <c r="AA58" s="25"/>
      <c r="AB58" s="68"/>
      <c r="AC58" s="26"/>
      <c r="AD58" s="21"/>
      <c r="AE58" s="22"/>
      <c r="AF58" s="21"/>
      <c r="AG58" s="23"/>
      <c r="AH58" s="24"/>
      <c r="AI58" s="25"/>
      <c r="AJ58" s="24"/>
      <c r="AK58" s="26"/>
      <c r="AL58" s="21"/>
      <c r="AM58" s="22"/>
      <c r="AN58" s="21"/>
      <c r="AO58" s="23"/>
      <c r="AP58" s="24"/>
      <c r="AQ58" s="25"/>
      <c r="AR58" s="24"/>
      <c r="AS58" s="26"/>
      <c r="AT58" s="21"/>
      <c r="AU58" s="22"/>
      <c r="AV58" s="67"/>
      <c r="AW58" s="23"/>
      <c r="AX58" s="24"/>
      <c r="AY58" s="25"/>
      <c r="AZ58" s="24"/>
      <c r="BA58" s="26"/>
      <c r="BB58" s="21"/>
      <c r="BC58" s="22"/>
      <c r="BD58" s="21"/>
      <c r="BE58" s="23"/>
      <c r="BF58" s="24"/>
      <c r="BG58" s="25"/>
      <c r="BH58" s="24"/>
      <c r="BI58" s="26"/>
      <c r="BJ58" s="37"/>
      <c r="BK58" s="66">
        <v>10</v>
      </c>
      <c r="BL58" s="34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</row>
    <row r="59" spans="1:103" s="2" customFormat="1" ht="12" x14ac:dyDescent="0.3">
      <c r="A59" s="43" t="s">
        <v>93</v>
      </c>
      <c r="B59" s="51" t="s">
        <v>167</v>
      </c>
      <c r="C59" s="58">
        <v>16.112962609619991</v>
      </c>
      <c r="D59" s="45">
        <v>3.38</v>
      </c>
      <c r="E59" s="135">
        <v>7</v>
      </c>
      <c r="F59" s="21">
        <v>1.0625093635079734</v>
      </c>
      <c r="G59" s="29">
        <v>9.3829863541469951</v>
      </c>
      <c r="H59" s="67">
        <f>(F59-0.01*G59)/G59</f>
        <v>0.10323786728501172</v>
      </c>
      <c r="I59" s="23">
        <f xml:space="preserve"> LOG(H59*1000)</f>
        <v>2.013839024194982</v>
      </c>
      <c r="J59" s="24"/>
      <c r="K59" s="25"/>
      <c r="L59" s="68"/>
      <c r="M59" s="26"/>
      <c r="N59" s="21"/>
      <c r="O59" s="22"/>
      <c r="P59" s="82"/>
      <c r="Q59" s="27"/>
      <c r="R59" s="24"/>
      <c r="S59" s="25"/>
      <c r="T59" s="28"/>
      <c r="U59" s="31"/>
      <c r="V59" s="21">
        <v>0.80245101890585258</v>
      </c>
      <c r="W59" s="29">
        <v>29.044419626512383</v>
      </c>
      <c r="X59" s="67">
        <f>(V59-0.01*W59)/W59</f>
        <v>1.7628406049241818E-2</v>
      </c>
      <c r="Y59" s="23">
        <f xml:space="preserve"> LOG(X59*1000)</f>
        <v>1.2462130454068705</v>
      </c>
      <c r="Z59" s="24">
        <v>0.69769173007588148</v>
      </c>
      <c r="AA59" s="30">
        <v>23.829265089740876</v>
      </c>
      <c r="AB59" s="68">
        <f>(Z59-0.01*AA59)/AA59</f>
        <v>1.9278776640755745E-2</v>
      </c>
      <c r="AC59" s="26">
        <f xml:space="preserve"> LOG(AB59*1000)</f>
        <v>1.2850794717335179</v>
      </c>
      <c r="AD59" s="21"/>
      <c r="AE59" s="22"/>
      <c r="AF59" s="21"/>
      <c r="AG59" s="23"/>
      <c r="AH59" s="24"/>
      <c r="AI59" s="25"/>
      <c r="AJ59" s="24"/>
      <c r="AK59" s="26"/>
      <c r="AL59" s="21">
        <v>1.4865649308307467</v>
      </c>
      <c r="AM59" s="29">
        <v>23.961132765651531</v>
      </c>
      <c r="AN59" s="67">
        <f>(AL59-0.01*AM59)/AM59</f>
        <v>5.2040678350639129E-2</v>
      </c>
      <c r="AO59" s="23">
        <f xml:space="preserve"> LOG(AN59*1000)</f>
        <v>1.716342948958328</v>
      </c>
      <c r="AP59" s="24"/>
      <c r="AQ59" s="25"/>
      <c r="AR59" s="24"/>
      <c r="AS59" s="26"/>
      <c r="AT59" s="21">
        <v>2.8199857411983666</v>
      </c>
      <c r="AU59" s="29">
        <v>48.852248412756921</v>
      </c>
      <c r="AV59" s="67">
        <f t="shared" ref="AV59:AV64" si="8">(AT59-0.01*AU59)/AU59</f>
        <v>4.7724789192343006E-2</v>
      </c>
      <c r="AW59" s="23">
        <f t="shared" ref="AW59:AW65" si="9" xml:space="preserve"> LOG(AV59*1000)</f>
        <v>1.6787440187251204</v>
      </c>
      <c r="AX59" s="24"/>
      <c r="AY59" s="25"/>
      <c r="AZ59" s="24"/>
      <c r="BA59" s="26"/>
      <c r="BB59" s="21"/>
      <c r="BC59" s="22"/>
      <c r="BD59" s="21"/>
      <c r="BE59" s="23"/>
      <c r="BF59" s="24"/>
      <c r="BG59" s="25"/>
      <c r="BH59" s="24"/>
      <c r="BI59" s="26"/>
      <c r="BJ59" s="37"/>
      <c r="BK59" s="66">
        <v>10</v>
      </c>
      <c r="BL59" s="34"/>
    </row>
    <row r="60" spans="1:103" s="2" customFormat="1" ht="12" x14ac:dyDescent="0.3">
      <c r="A60" s="43" t="s">
        <v>97</v>
      </c>
      <c r="B60" s="51" t="s">
        <v>168</v>
      </c>
      <c r="C60" s="58">
        <v>8.7555463052040956</v>
      </c>
      <c r="D60" s="45">
        <v>5.72</v>
      </c>
      <c r="E60" s="135">
        <v>7.1</v>
      </c>
      <c r="F60" s="21"/>
      <c r="G60" s="22"/>
      <c r="H60" s="67"/>
      <c r="I60" s="23"/>
      <c r="J60" s="24"/>
      <c r="K60" s="25"/>
      <c r="L60" s="68"/>
      <c r="M60" s="26"/>
      <c r="N60" s="21">
        <v>0.2296215922426213</v>
      </c>
      <c r="O60" s="29">
        <v>3.3159319480444811</v>
      </c>
      <c r="P60" s="82">
        <f>(N60-0.01*O60)/O60</f>
        <v>5.9247980911682166E-2</v>
      </c>
      <c r="Q60" s="27">
        <f xml:space="preserve"> LOG(P60*1000)</f>
        <v>1.7726735547858352</v>
      </c>
      <c r="R60" s="24"/>
      <c r="S60" s="25"/>
      <c r="T60" s="28"/>
      <c r="U60" s="31"/>
      <c r="V60" s="21">
        <v>0.42482047489412333</v>
      </c>
      <c r="W60" s="29">
        <v>8.9363720257901278</v>
      </c>
      <c r="X60" s="67">
        <f>(V60-0.01*W60)/W60</f>
        <v>3.7538360496642588E-2</v>
      </c>
      <c r="Y60" s="23">
        <f xml:space="preserve"> LOG(X60*1000)</f>
        <v>1.5744753007091421</v>
      </c>
      <c r="Z60" s="24">
        <v>0.21615656945313103</v>
      </c>
      <c r="AA60" s="30">
        <v>3.3920005610158954</v>
      </c>
      <c r="AB60" s="68">
        <f>(Z60-0.01*AA60)/AA60</f>
        <v>5.3725393190498967E-2</v>
      </c>
      <c r="AC60" s="26">
        <f xml:space="preserve"> LOG(AB60*1000)</f>
        <v>1.7301796025690497</v>
      </c>
      <c r="AD60" s="21"/>
      <c r="AE60" s="22"/>
      <c r="AF60" s="21"/>
      <c r="AG60" s="23"/>
      <c r="AH60" s="24"/>
      <c r="AI60" s="25"/>
      <c r="AJ60" s="24"/>
      <c r="AK60" s="26"/>
      <c r="AL60" s="21"/>
      <c r="AM60" s="22"/>
      <c r="AN60" s="21"/>
      <c r="AO60" s="23"/>
      <c r="AP60" s="24"/>
      <c r="AQ60" s="25"/>
      <c r="AR60" s="24"/>
      <c r="AS60" s="26"/>
      <c r="AT60" s="21">
        <v>1.6844912907514933</v>
      </c>
      <c r="AU60" s="29">
        <v>15.450804103148849</v>
      </c>
      <c r="AV60" s="67">
        <f t="shared" si="8"/>
        <v>9.9022888356224553E-2</v>
      </c>
      <c r="AW60" s="23">
        <f t="shared" si="9"/>
        <v>1.9957355899299778</v>
      </c>
      <c r="AX60" s="24"/>
      <c r="AY60" s="25"/>
      <c r="AZ60" s="24"/>
      <c r="BA60" s="26"/>
      <c r="BB60" s="21"/>
      <c r="BC60" s="22"/>
      <c r="BD60" s="21"/>
      <c r="BE60" s="23"/>
      <c r="BF60" s="24"/>
      <c r="BG60" s="25"/>
      <c r="BH60" s="24"/>
      <c r="BI60" s="26"/>
      <c r="BJ60" s="37"/>
      <c r="BK60" s="66">
        <v>10</v>
      </c>
      <c r="BL60" s="34"/>
    </row>
    <row r="61" spans="1:103" s="2" customFormat="1" ht="12" x14ac:dyDescent="0.3">
      <c r="A61" s="43" t="s">
        <v>100</v>
      </c>
      <c r="B61" s="51" t="s">
        <v>169</v>
      </c>
      <c r="C61" s="58">
        <v>9.1589859919253964</v>
      </c>
      <c r="D61" s="45">
        <v>5.13</v>
      </c>
      <c r="E61" s="135">
        <v>6.8</v>
      </c>
      <c r="F61" s="21"/>
      <c r="G61" s="22"/>
      <c r="H61" s="67"/>
      <c r="I61" s="23"/>
      <c r="J61" s="24"/>
      <c r="K61" s="25"/>
      <c r="L61" s="68"/>
      <c r="M61" s="26"/>
      <c r="N61" s="21">
        <v>0.14612354133339572</v>
      </c>
      <c r="O61" s="29">
        <v>6.5757882208076088</v>
      </c>
      <c r="P61" s="82">
        <f>(N61-0.01*O61)/O61</f>
        <v>1.2221448809896358E-2</v>
      </c>
      <c r="Q61" s="27">
        <f xml:space="preserve"> LOG(P61*1000)</f>
        <v>1.0871226930461846</v>
      </c>
      <c r="R61" s="24"/>
      <c r="S61" s="25"/>
      <c r="T61" s="28"/>
      <c r="U61" s="31"/>
      <c r="V61" s="21">
        <v>0.26417811559042093</v>
      </c>
      <c r="W61" s="29">
        <v>9.0813752491387714</v>
      </c>
      <c r="X61" s="67">
        <f>(V61-0.01*W61)/W61</f>
        <v>1.9090100160267482E-2</v>
      </c>
      <c r="Y61" s="23">
        <f xml:space="preserve"> LOG(X61*1000)</f>
        <v>1.2808082070179392</v>
      </c>
      <c r="Z61" s="24">
        <v>0.20621994088485968</v>
      </c>
      <c r="AA61" s="30">
        <v>12.485839055398001</v>
      </c>
      <c r="AB61" s="68">
        <f>(Z61-0.01*AA61)/AA61</f>
        <v>6.5163061905482945E-3</v>
      </c>
      <c r="AC61" s="26">
        <f xml:space="preserve"> LOG(AB61*1000)</f>
        <v>0.81400148290186525</v>
      </c>
      <c r="AD61" s="21"/>
      <c r="AE61" s="22"/>
      <c r="AF61" s="21"/>
      <c r="AG61" s="23"/>
      <c r="AH61" s="24"/>
      <c r="AI61" s="25"/>
      <c r="AJ61" s="24"/>
      <c r="AK61" s="26"/>
      <c r="AL61" s="21">
        <v>1.2358795570042003</v>
      </c>
      <c r="AM61" s="29">
        <v>38.344980603028674</v>
      </c>
      <c r="AN61" s="67">
        <f>(AL61-0.01*AM61)/AM61</f>
        <v>2.2230543282804126E-2</v>
      </c>
      <c r="AO61" s="23">
        <f xml:space="preserve"> LOG(AN61*1000)</f>
        <v>1.3469500763670448</v>
      </c>
      <c r="AP61" s="24">
        <v>0.26717161913986909</v>
      </c>
      <c r="AQ61" s="30">
        <v>0.27938343523329801</v>
      </c>
      <c r="AR61" s="68">
        <f>(AP61-0.01*AQ61)/AQ61</f>
        <v>0.94629012119765976</v>
      </c>
      <c r="AS61" s="26">
        <f xml:space="preserve"> LOG(AR61*1000)</f>
        <v>2.9760243062945091</v>
      </c>
      <c r="AT61" s="21">
        <v>0.78242480173345652</v>
      </c>
      <c r="AU61" s="29">
        <v>16.799633698082211</v>
      </c>
      <c r="AV61" s="67">
        <f t="shared" si="8"/>
        <v>3.6573920348202317E-2</v>
      </c>
      <c r="AW61" s="23">
        <f t="shared" si="9"/>
        <v>1.5631715147361387</v>
      </c>
      <c r="AX61" s="24"/>
      <c r="AY61" s="25"/>
      <c r="AZ61" s="24"/>
      <c r="BA61" s="26"/>
      <c r="BB61" s="21">
        <v>4.8797419553796217</v>
      </c>
      <c r="BC61" s="29">
        <v>45.894957169860724</v>
      </c>
      <c r="BD61" s="67">
        <f>(BB61-0.01*BC61)/BC61</f>
        <v>9.6324142265114793E-2</v>
      </c>
      <c r="BE61" s="23">
        <f xml:space="preserve"> LOG(BD61*1000)</f>
        <v>1.983735150452377</v>
      </c>
      <c r="BF61" s="24"/>
      <c r="BG61" s="25"/>
      <c r="BH61" s="24"/>
      <c r="BI61" s="26"/>
      <c r="BJ61" s="37"/>
      <c r="BK61" s="66">
        <v>10</v>
      </c>
      <c r="BL61" s="34"/>
    </row>
    <row r="62" spans="1:103" s="2" customFormat="1" ht="12" x14ac:dyDescent="0.3">
      <c r="A62" s="43" t="s">
        <v>102</v>
      </c>
      <c r="B62" s="51" t="s">
        <v>170</v>
      </c>
      <c r="C62" s="59">
        <v>68.840895509512336</v>
      </c>
      <c r="D62" s="44">
        <v>3.96</v>
      </c>
      <c r="E62" s="135">
        <v>6.8</v>
      </c>
      <c r="F62" s="21"/>
      <c r="G62" s="22"/>
      <c r="H62" s="67"/>
      <c r="I62" s="23"/>
      <c r="J62" s="24"/>
      <c r="K62" s="25"/>
      <c r="L62" s="68"/>
      <c r="M62" s="26"/>
      <c r="N62" s="21">
        <v>3.6143534338059879</v>
      </c>
      <c r="O62" s="29">
        <v>245.36779150096982</v>
      </c>
      <c r="P62" s="82">
        <f>(N62-0.01*O62)/O62</f>
        <v>4.7303499440418699E-3</v>
      </c>
      <c r="Q62" s="27">
        <f xml:space="preserve"> LOG(P62*1000)</f>
        <v>0.67489327036669999</v>
      </c>
      <c r="R62" s="24">
        <v>1.2115961061710965</v>
      </c>
      <c r="S62" s="30">
        <v>1.0457071300201346</v>
      </c>
      <c r="T62" s="83">
        <f>(R62-0.01*S62)/S62</f>
        <v>1.1486380845923541</v>
      </c>
      <c r="U62" s="31">
        <f xml:space="preserve"> LOG(T62*1000)</f>
        <v>3.0601832117832988</v>
      </c>
      <c r="V62" s="21">
        <v>1.8454857716312101</v>
      </c>
      <c r="W62" s="29">
        <v>147.75271528173528</v>
      </c>
      <c r="X62" s="82">
        <f>(V62-0.01*W62)/W62</f>
        <v>2.4903678968757549E-3</v>
      </c>
      <c r="Y62" s="23">
        <f xml:space="preserve"> LOG(X62*1000)</f>
        <v>0.39626350925670467</v>
      </c>
      <c r="Z62" s="24">
        <v>1.5013332648211011</v>
      </c>
      <c r="AA62" s="30">
        <v>88.97028810907014</v>
      </c>
      <c r="AB62" s="68">
        <f>(Z62-0.01*AA62)/AA62</f>
        <v>6.8745465113093929E-3</v>
      </c>
      <c r="AC62" s="26">
        <f xml:space="preserve"> LOG(AB62*1000)</f>
        <v>0.83724405462859097</v>
      </c>
      <c r="AD62" s="21">
        <v>0.74343725636071845</v>
      </c>
      <c r="AE62" s="29">
        <v>5.1140272925044608</v>
      </c>
      <c r="AF62" s="67">
        <f>(AD62-0.01*AE62)/AE62</f>
        <v>0.13537217223114184</v>
      </c>
      <c r="AG62" s="23">
        <f xml:space="preserve"> LOG(AF62*1000)</f>
        <v>2.1315293978162928</v>
      </c>
      <c r="AH62" s="24">
        <v>36.678820074320839</v>
      </c>
      <c r="AI62" s="30">
        <v>441.60209524888643</v>
      </c>
      <c r="AJ62" s="68">
        <f>(AH62-0.01*AI62)/AI62</f>
        <v>7.3058528183949617E-2</v>
      </c>
      <c r="AK62" s="26">
        <f xml:space="preserve"> LOG(AJ62*1000)</f>
        <v>1.8636709187925746</v>
      </c>
      <c r="AL62" s="21">
        <v>1.0597237848182406</v>
      </c>
      <c r="AM62" s="29">
        <v>10.210302196872654</v>
      </c>
      <c r="AN62" s="67">
        <f>(AL62-0.01*AM62)/AM62</f>
        <v>9.3789659148661317E-2</v>
      </c>
      <c r="AO62" s="23">
        <f xml:space="preserve"> LOG(AN62*1000)</f>
        <v>1.9721549575449129</v>
      </c>
      <c r="AP62" s="24">
        <v>7.2432266195726251</v>
      </c>
      <c r="AQ62" s="30">
        <v>24.374881344492835</v>
      </c>
      <c r="AR62" s="68">
        <f>(AP62-0.01*AQ62)/AQ62</f>
        <v>0.28715946170991852</v>
      </c>
      <c r="AS62" s="26">
        <f xml:space="preserve"> LOG(AR62*1000)</f>
        <v>2.4581231305621936</v>
      </c>
      <c r="AT62" s="21">
        <v>2.2158255475092767</v>
      </c>
      <c r="AU62" s="29">
        <v>26.713156022030585</v>
      </c>
      <c r="AV62" s="67">
        <f t="shared" si="8"/>
        <v>7.2948849087014087E-2</v>
      </c>
      <c r="AW62" s="23">
        <f t="shared" si="9"/>
        <v>1.8630184444254696</v>
      </c>
      <c r="AX62" s="24"/>
      <c r="AY62" s="25"/>
      <c r="AZ62" s="24"/>
      <c r="BA62" s="26"/>
      <c r="BB62" s="21">
        <v>11.193560630454396</v>
      </c>
      <c r="BC62" s="29">
        <v>96.475292675434986</v>
      </c>
      <c r="BD62" s="67">
        <f>(BB62-0.01*BC62)/BC62</f>
        <v>0.10602515338421518</v>
      </c>
      <c r="BE62" s="23">
        <f xml:space="preserve"> LOG(BD62*1000)</f>
        <v>2.0254089094163037</v>
      </c>
      <c r="BF62" s="24"/>
      <c r="BG62" s="25"/>
      <c r="BH62" s="24"/>
      <c r="BI62" s="26"/>
      <c r="BJ62" s="37"/>
      <c r="BK62" s="66">
        <v>10</v>
      </c>
      <c r="BL62" s="34"/>
    </row>
    <row r="63" spans="1:103" s="2" customFormat="1" ht="12" x14ac:dyDescent="0.3">
      <c r="A63" s="43" t="s">
        <v>85</v>
      </c>
      <c r="B63" s="52" t="s">
        <v>171</v>
      </c>
      <c r="C63" s="58">
        <v>9.7723725033278441</v>
      </c>
      <c r="D63" s="45">
        <v>2.37</v>
      </c>
      <c r="E63" s="135">
        <v>5.2</v>
      </c>
      <c r="F63" s="21">
        <v>3.3859156701206343</v>
      </c>
      <c r="G63" s="29">
        <v>12.669564362086454</v>
      </c>
      <c r="H63" s="67">
        <f>(F63-0.01*G63)/G63</f>
        <v>0.25724799474976057</v>
      </c>
      <c r="I63" s="23">
        <f xml:space="preserve"> LOG(H63*1000)</f>
        <v>2.4103519981185988</v>
      </c>
      <c r="J63" s="24"/>
      <c r="K63" s="25"/>
      <c r="L63" s="68"/>
      <c r="M63" s="26"/>
      <c r="N63" s="21"/>
      <c r="O63" s="22"/>
      <c r="P63" s="82"/>
      <c r="Q63" s="27"/>
      <c r="R63" s="24"/>
      <c r="S63" s="25"/>
      <c r="T63" s="28"/>
      <c r="U63" s="31"/>
      <c r="V63" s="21"/>
      <c r="W63" s="22"/>
      <c r="X63" s="67"/>
      <c r="Y63" s="23"/>
      <c r="Z63" s="24"/>
      <c r="AA63" s="25"/>
      <c r="AB63" s="68"/>
      <c r="AC63" s="26"/>
      <c r="AD63" s="21"/>
      <c r="AE63" s="22"/>
      <c r="AF63" s="21"/>
      <c r="AG63" s="23"/>
      <c r="AH63" s="24"/>
      <c r="AI63" s="25"/>
      <c r="AJ63" s="24"/>
      <c r="AK63" s="26"/>
      <c r="AL63" s="21"/>
      <c r="AM63" s="22"/>
      <c r="AN63" s="21"/>
      <c r="AO63" s="23"/>
      <c r="AP63" s="24"/>
      <c r="AQ63" s="25"/>
      <c r="AR63" s="24"/>
      <c r="AS63" s="26"/>
      <c r="AT63" s="21">
        <v>0.86142457701315678</v>
      </c>
      <c r="AU63" s="29">
        <v>6.7329332138089013</v>
      </c>
      <c r="AV63" s="67">
        <f t="shared" si="8"/>
        <v>0.11794194590352078</v>
      </c>
      <c r="AW63" s="23">
        <f t="shared" si="9"/>
        <v>2.0716682888495357</v>
      </c>
      <c r="AX63" s="24"/>
      <c r="AY63" s="25"/>
      <c r="AZ63" s="24"/>
      <c r="BA63" s="26"/>
      <c r="BB63" s="21"/>
      <c r="BC63" s="22"/>
      <c r="BD63" s="21"/>
      <c r="BE63" s="23"/>
      <c r="BF63" s="24"/>
      <c r="BG63" s="25"/>
      <c r="BH63" s="24"/>
      <c r="BI63" s="26"/>
      <c r="BJ63" s="37"/>
      <c r="BK63" s="66">
        <v>10</v>
      </c>
      <c r="BL63" s="34"/>
    </row>
    <row r="64" spans="1:103" s="6" customFormat="1" ht="12" x14ac:dyDescent="0.3">
      <c r="A64" s="43" t="s">
        <v>86</v>
      </c>
      <c r="B64" s="52" t="s">
        <v>172</v>
      </c>
      <c r="C64" s="58">
        <v>8.1012087176377534</v>
      </c>
      <c r="D64" s="45">
        <v>8.31</v>
      </c>
      <c r="E64" s="135">
        <v>7.2</v>
      </c>
      <c r="F64" s="21"/>
      <c r="G64" s="22"/>
      <c r="H64" s="67"/>
      <c r="I64" s="23"/>
      <c r="J64" s="24"/>
      <c r="K64" s="25"/>
      <c r="L64" s="68"/>
      <c r="M64" s="26"/>
      <c r="N64" s="21">
        <v>0.32957274113064017</v>
      </c>
      <c r="O64" s="29">
        <v>16.346830476981054</v>
      </c>
      <c r="P64" s="82">
        <f>(N64-0.01*O64)/O64</f>
        <v>1.0161262551461041E-2</v>
      </c>
      <c r="Q64" s="27">
        <f xml:space="preserve"> LOG(P64*1000)</f>
        <v>1.0069476730135027</v>
      </c>
      <c r="R64" s="24"/>
      <c r="S64" s="25"/>
      <c r="T64" s="28"/>
      <c r="U64" s="31"/>
      <c r="V64" s="21"/>
      <c r="W64" s="22"/>
      <c r="X64" s="67"/>
      <c r="Y64" s="23"/>
      <c r="Z64" s="24">
        <v>0.12853057221920211</v>
      </c>
      <c r="AA64" s="30">
        <v>0.78745335594801835</v>
      </c>
      <c r="AB64" s="68">
        <f>(Z64-0.01*AA64)/AA64</f>
        <v>0.15322309283254451</v>
      </c>
      <c r="AC64" s="26">
        <f xml:space="preserve"> LOG(AB64*1000)</f>
        <v>2.1853242243954534</v>
      </c>
      <c r="AD64" s="21"/>
      <c r="AE64" s="22"/>
      <c r="AF64" s="21"/>
      <c r="AG64" s="23"/>
      <c r="AH64" s="24"/>
      <c r="AI64" s="25"/>
      <c r="AJ64" s="24"/>
      <c r="AK64" s="26"/>
      <c r="AL64" s="21"/>
      <c r="AM64" s="22"/>
      <c r="AN64" s="21"/>
      <c r="AO64" s="23"/>
      <c r="AP64" s="24"/>
      <c r="AQ64" s="25"/>
      <c r="AR64" s="24"/>
      <c r="AS64" s="26"/>
      <c r="AT64" s="21">
        <v>0.17722531357832372</v>
      </c>
      <c r="AU64" s="29">
        <v>1.0190160178460164</v>
      </c>
      <c r="AV64" s="67">
        <f t="shared" si="8"/>
        <v>0.16391808418570339</v>
      </c>
      <c r="AW64" s="23">
        <f t="shared" si="9"/>
        <v>2.2146268695485829</v>
      </c>
      <c r="AX64" s="24"/>
      <c r="AY64" s="25"/>
      <c r="AZ64" s="24"/>
      <c r="BA64" s="26"/>
      <c r="BB64" s="21"/>
      <c r="BC64" s="22"/>
      <c r="BD64" s="21"/>
      <c r="BE64" s="23"/>
      <c r="BF64" s="24"/>
      <c r="BG64" s="25"/>
      <c r="BH64" s="24"/>
      <c r="BI64" s="26"/>
      <c r="BJ64" s="37"/>
      <c r="BK64" s="66">
        <v>10</v>
      </c>
      <c r="BL64" s="34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</row>
    <row r="65" spans="1:103" s="6" customFormat="1" ht="12" x14ac:dyDescent="0.3">
      <c r="A65" s="43" t="s">
        <v>88</v>
      </c>
      <c r="B65" s="52" t="s">
        <v>173</v>
      </c>
      <c r="C65" s="58">
        <v>9.6756458588694336</v>
      </c>
      <c r="D65" s="45">
        <v>5.76</v>
      </c>
      <c r="E65" s="135">
        <v>6.8</v>
      </c>
      <c r="F65" s="21"/>
      <c r="G65" s="22"/>
      <c r="H65" s="67"/>
      <c r="I65" s="23"/>
      <c r="J65" s="24"/>
      <c r="K65" s="25"/>
      <c r="L65" s="68"/>
      <c r="M65" s="26"/>
      <c r="N65" s="21"/>
      <c r="O65" s="22"/>
      <c r="P65" s="82"/>
      <c r="Q65" s="27"/>
      <c r="R65" s="24"/>
      <c r="S65" s="25"/>
      <c r="T65" s="28"/>
      <c r="U65" s="31"/>
      <c r="V65" s="21">
        <v>0.736373193326604</v>
      </c>
      <c r="W65" s="29">
        <v>29.135639397453904</v>
      </c>
      <c r="X65" s="67">
        <f>(V65-0.01*W65)/W65</f>
        <v>1.5273967160334705E-2</v>
      </c>
      <c r="Y65" s="23">
        <f xml:space="preserve"> LOG(X65*1000)</f>
        <v>1.1839518525163666</v>
      </c>
      <c r="Z65" s="24">
        <v>0.20580110762249035</v>
      </c>
      <c r="AA65" s="30">
        <v>6.7273410668630769</v>
      </c>
      <c r="AB65" s="68">
        <f>(Z65-0.01*AA65)/AA65</f>
        <v>2.0591745769544326E-2</v>
      </c>
      <c r="AC65" s="26">
        <f xml:space="preserve"> LOG(AB65*1000)</f>
        <v>1.3136931676932948</v>
      </c>
      <c r="AD65" s="21"/>
      <c r="AE65" s="22"/>
      <c r="AF65" s="21"/>
      <c r="AG65" s="23"/>
      <c r="AH65" s="24"/>
      <c r="AI65" s="25"/>
      <c r="AJ65" s="24"/>
      <c r="AK65" s="26"/>
      <c r="AL65" s="21">
        <v>0.75870384900886312</v>
      </c>
      <c r="AM65" s="29">
        <v>1.1849628121166571</v>
      </c>
      <c r="AN65" s="67">
        <f>(AL65-0.01*AM65)/AM65</f>
        <v>0.63027650593828966</v>
      </c>
      <c r="AO65" s="23">
        <f xml:space="preserve"> LOG(AN65*1000)</f>
        <v>2.7995311187525789</v>
      </c>
      <c r="AP65" s="24"/>
      <c r="AQ65" s="25"/>
      <c r="AR65" s="24"/>
      <c r="AS65" s="26"/>
      <c r="AT65" s="21">
        <v>0.69730249137985068</v>
      </c>
      <c r="AU65" s="29">
        <v>4.0630434684020917</v>
      </c>
      <c r="AV65" s="67">
        <f t="shared" ref="AV65" si="10">(AT65-0.01*AU65)/AU65</f>
        <v>0.16162073130713633</v>
      </c>
      <c r="AW65" s="23">
        <f t="shared" si="9"/>
        <v>2.208497067545141</v>
      </c>
      <c r="AX65" s="24"/>
      <c r="AY65" s="25"/>
      <c r="AZ65" s="24"/>
      <c r="BA65" s="26"/>
      <c r="BB65" s="21"/>
      <c r="BC65" s="22"/>
      <c r="BD65" s="21"/>
      <c r="BE65" s="23"/>
      <c r="BF65" s="24"/>
      <c r="BG65" s="25"/>
      <c r="BH65" s="24"/>
      <c r="BI65" s="26"/>
      <c r="BJ65" s="37"/>
      <c r="BK65" s="66">
        <v>10</v>
      </c>
      <c r="BL65" s="34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</row>
    <row r="66" spans="1:103" s="6" customFormat="1" ht="12" x14ac:dyDescent="0.3">
      <c r="A66" s="43" t="s">
        <v>90</v>
      </c>
      <c r="B66" s="52" t="s">
        <v>174</v>
      </c>
      <c r="C66" s="58">
        <v>4.0104278129679809</v>
      </c>
      <c r="D66" s="45">
        <v>7.57</v>
      </c>
      <c r="E66" s="135">
        <v>7.1</v>
      </c>
      <c r="F66" s="21"/>
      <c r="G66" s="22"/>
      <c r="H66" s="67"/>
      <c r="I66" s="23"/>
      <c r="J66" s="24"/>
      <c r="K66" s="25"/>
      <c r="L66" s="68"/>
      <c r="M66" s="26"/>
      <c r="N66" s="21">
        <v>6.7578838081849127E-2</v>
      </c>
      <c r="O66" s="29">
        <v>4.3838596230388847</v>
      </c>
      <c r="P66" s="82">
        <f>(N66-0.01*O66)/O66</f>
        <v>5.4153745541248837E-3</v>
      </c>
      <c r="Q66" s="27">
        <f xml:space="preserve"> LOG(P66*1000)</f>
        <v>0.73362849995747226</v>
      </c>
      <c r="R66" s="24"/>
      <c r="S66" s="25"/>
      <c r="T66" s="28"/>
      <c r="U66" s="31"/>
      <c r="V66" s="21"/>
      <c r="W66" s="22"/>
      <c r="X66" s="67"/>
      <c r="Y66" s="23"/>
      <c r="Z66" s="24"/>
      <c r="AA66" s="25"/>
      <c r="AB66" s="68"/>
      <c r="AC66" s="26"/>
      <c r="AD66" s="21"/>
      <c r="AE66" s="22"/>
      <c r="AF66" s="21"/>
      <c r="AG66" s="23"/>
      <c r="AH66" s="24"/>
      <c r="AI66" s="25"/>
      <c r="AJ66" s="24"/>
      <c r="AK66" s="26"/>
      <c r="AL66" s="21"/>
      <c r="AM66" s="22"/>
      <c r="AN66" s="21"/>
      <c r="AO66" s="23"/>
      <c r="AP66" s="24"/>
      <c r="AQ66" s="25"/>
      <c r="AR66" s="24"/>
      <c r="AS66" s="26"/>
      <c r="AT66" s="21"/>
      <c r="AU66" s="22"/>
      <c r="AV66" s="67"/>
      <c r="AW66" s="23"/>
      <c r="AX66" s="24">
        <v>0.33609124571368398</v>
      </c>
      <c r="AY66" s="30">
        <v>2.297739349942316</v>
      </c>
      <c r="AZ66" s="68">
        <f>(AX66-0.01*AY66)/AY66</f>
        <v>0.13627039647561479</v>
      </c>
      <c r="BA66" s="26">
        <f xml:space="preserve"> LOG(AZ66*1000)</f>
        <v>2.134401519490726</v>
      </c>
      <c r="BB66" s="21">
        <v>1.6098913029542992</v>
      </c>
      <c r="BC66" s="29">
        <v>2.0297852848563895</v>
      </c>
      <c r="BD66" s="67">
        <f>(BB66-0.01*BC66)/BC66</f>
        <v>0.78313379349294143</v>
      </c>
      <c r="BE66" s="23">
        <f xml:space="preserve"> LOG(BD66*1000)</f>
        <v>2.893835964882864</v>
      </c>
      <c r="BF66" s="24">
        <v>0.19932942015634519</v>
      </c>
      <c r="BG66" s="30">
        <v>3.0259051924286005</v>
      </c>
      <c r="BH66" s="68">
        <f>(BF66-0.01*BG66)/BG66</f>
        <v>5.5874311149967923E-2</v>
      </c>
      <c r="BI66" s="26">
        <f xml:space="preserve"> LOG(BH66*1000)</f>
        <v>1.7472121819455964</v>
      </c>
      <c r="BJ66" s="47"/>
      <c r="BK66" s="66">
        <v>10</v>
      </c>
      <c r="BL66" s="34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</row>
    <row r="67" spans="1:103" s="6" customFormat="1" ht="12" x14ac:dyDescent="0.3">
      <c r="A67" s="43" t="s">
        <v>94</v>
      </c>
      <c r="B67" s="52" t="s">
        <v>175</v>
      </c>
      <c r="C67" s="58">
        <v>7.1628223928569339</v>
      </c>
      <c r="D67" s="45">
        <v>2.89</v>
      </c>
      <c r="E67" s="135">
        <v>6.8</v>
      </c>
      <c r="F67" s="21"/>
      <c r="G67" s="22"/>
      <c r="H67" s="67"/>
      <c r="I67" s="23"/>
      <c r="J67" s="24"/>
      <c r="K67" s="25"/>
      <c r="L67" s="68"/>
      <c r="M67" s="26"/>
      <c r="N67" s="21">
        <v>0.23794090619017405</v>
      </c>
      <c r="O67" s="29">
        <v>12.378795336943369</v>
      </c>
      <c r="P67" s="82">
        <f>(N67-0.01*O67)/O67</f>
        <v>9.2216528114057606E-3</v>
      </c>
      <c r="Q67" s="27">
        <f xml:space="preserve"> LOG(P67*1000)</f>
        <v>0.96480876731637066</v>
      </c>
      <c r="R67" s="24"/>
      <c r="S67" s="25"/>
      <c r="T67" s="28"/>
      <c r="U67" s="31"/>
      <c r="V67" s="21">
        <v>0.24969800068216191</v>
      </c>
      <c r="W67" s="29">
        <v>7.6454140808684041</v>
      </c>
      <c r="X67" s="67">
        <f>(V67-0.01*W67)/W67</f>
        <v>2.2659840008796485E-2</v>
      </c>
      <c r="Y67" s="23">
        <f xml:space="preserve"> LOG(X67*1000)</f>
        <v>1.3552568391751219</v>
      </c>
      <c r="Z67" s="24">
        <v>0.24548080795307531</v>
      </c>
      <c r="AA67" s="30">
        <v>19.459791608348105</v>
      </c>
      <c r="AB67" s="83">
        <f>(Z67-0.01*AA67)/AA67</f>
        <v>2.6147706457332184E-3</v>
      </c>
      <c r="AC67" s="26">
        <f xml:space="preserve"> LOG(AB67*1000)</f>
        <v>0.4174336007899635</v>
      </c>
      <c r="AD67" s="21"/>
      <c r="AE67" s="22"/>
      <c r="AF67" s="21"/>
      <c r="AG67" s="23"/>
      <c r="AH67" s="24"/>
      <c r="AI67" s="25"/>
      <c r="AJ67" s="24"/>
      <c r="AK67" s="26"/>
      <c r="AL67" s="21">
        <v>1.021973691027009</v>
      </c>
      <c r="AM67" s="29">
        <v>21.272167960966467</v>
      </c>
      <c r="AN67" s="67">
        <f>(AL67-0.01*AM67)/AM67</f>
        <v>3.8042761457237818E-2</v>
      </c>
      <c r="AO67" s="23">
        <f xml:space="preserve"> LOG(AN67*1000)</f>
        <v>1.5802720340832608</v>
      </c>
      <c r="AP67" s="24"/>
      <c r="AQ67" s="25"/>
      <c r="AR67" s="24"/>
      <c r="AS67" s="26"/>
      <c r="AT67" s="21">
        <v>1.4840587400130509</v>
      </c>
      <c r="AU67" s="29">
        <v>22.806702326093447</v>
      </c>
      <c r="AV67" s="67">
        <f>(AT67-0.01*AU67)/AU67</f>
        <v>5.5071167185582977E-2</v>
      </c>
      <c r="AW67" s="23">
        <f xml:space="preserve"> LOG(AV67*1000)</f>
        <v>1.7409242810733714</v>
      </c>
      <c r="AX67" s="24"/>
      <c r="AY67" s="25"/>
      <c r="AZ67" s="24"/>
      <c r="BA67" s="26"/>
      <c r="BB67" s="21">
        <v>2.6447774078022661</v>
      </c>
      <c r="BC67" s="29">
        <v>11.102375491962809</v>
      </c>
      <c r="BD67" s="67">
        <f>(BB67-0.01*BC67)/BC67</f>
        <v>0.22821725447106916</v>
      </c>
      <c r="BE67" s="23">
        <f xml:space="preserve"> LOG(BD67*1000)</f>
        <v>2.3583484763586671</v>
      </c>
      <c r="BF67" s="24"/>
      <c r="BG67" s="25"/>
      <c r="BH67" s="24"/>
      <c r="BI67" s="26"/>
      <c r="BJ67" s="37"/>
      <c r="BK67" s="66">
        <v>10</v>
      </c>
      <c r="BL67" s="34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</row>
    <row r="68" spans="1:103" s="6" customFormat="1" ht="12" x14ac:dyDescent="0.3">
      <c r="A68" s="43" t="s">
        <v>99</v>
      </c>
      <c r="B68" s="52" t="s">
        <v>176</v>
      </c>
      <c r="C68" s="58">
        <v>7.39768508040504</v>
      </c>
      <c r="D68" s="45">
        <v>5.78</v>
      </c>
      <c r="E68" s="135">
        <v>6.9</v>
      </c>
      <c r="F68" s="21"/>
      <c r="G68" s="22"/>
      <c r="H68" s="67"/>
      <c r="I68" s="23"/>
      <c r="J68" s="24"/>
      <c r="K68" s="25"/>
      <c r="L68" s="68"/>
      <c r="M68" s="26"/>
      <c r="N68" s="21">
        <v>0.30960052752676476</v>
      </c>
      <c r="O68" s="29">
        <v>1.8600426948031461</v>
      </c>
      <c r="P68" s="82">
        <f>(N68-0.01*O68)/O68</f>
        <v>0.15644807583813589</v>
      </c>
      <c r="Q68" s="27">
        <f xml:space="preserve"> LOG(P68*1000)</f>
        <v>2.1943702261078513</v>
      </c>
      <c r="R68" s="24"/>
      <c r="S68" s="25"/>
      <c r="T68" s="28"/>
      <c r="U68" s="31"/>
      <c r="V68" s="21"/>
      <c r="W68" s="22"/>
      <c r="X68" s="67"/>
      <c r="Y68" s="23"/>
      <c r="Z68" s="24"/>
      <c r="AA68" s="25"/>
      <c r="AB68" s="68"/>
      <c r="AC68" s="26"/>
      <c r="AD68" s="21"/>
      <c r="AE68" s="22"/>
      <c r="AF68" s="21"/>
      <c r="AG68" s="23"/>
      <c r="AH68" s="24"/>
      <c r="AI68" s="25"/>
      <c r="AJ68" s="24"/>
      <c r="AK68" s="26"/>
      <c r="AL68" s="21"/>
      <c r="AM68" s="22"/>
      <c r="AN68" s="21"/>
      <c r="AO68" s="23"/>
      <c r="AP68" s="24"/>
      <c r="AQ68" s="25"/>
      <c r="AR68" s="24"/>
      <c r="AS68" s="26"/>
      <c r="AT68" s="21"/>
      <c r="AU68" s="22"/>
      <c r="AV68" s="67"/>
      <c r="AW68" s="23"/>
      <c r="AX68" s="24"/>
      <c r="AY68" s="25"/>
      <c r="AZ68" s="24"/>
      <c r="BA68" s="26"/>
      <c r="BB68" s="21"/>
      <c r="BC68" s="22"/>
      <c r="BD68" s="21"/>
      <c r="BE68" s="23"/>
      <c r="BF68" s="24"/>
      <c r="BG68" s="25"/>
      <c r="BH68" s="24"/>
      <c r="BI68" s="26"/>
      <c r="BJ68" s="37"/>
      <c r="BK68" s="66">
        <v>10</v>
      </c>
      <c r="BL68" s="34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</row>
    <row r="69" spans="1:103" s="8" customFormat="1" x14ac:dyDescent="0.35">
      <c r="A69" s="43" t="s">
        <v>40</v>
      </c>
      <c r="B69" s="53" t="s">
        <v>177</v>
      </c>
      <c r="C69" s="59">
        <v>24.084435264073214</v>
      </c>
      <c r="D69" s="44">
        <v>4.08</v>
      </c>
      <c r="E69" s="135">
        <v>7.1</v>
      </c>
      <c r="F69" s="73">
        <v>0.85902451774771171</v>
      </c>
      <c r="G69" s="29">
        <v>6.2</v>
      </c>
      <c r="H69" s="67">
        <f>(F69-0.01*G69)/G69</f>
        <v>0.12855234157221154</v>
      </c>
      <c r="I69" s="23">
        <f xml:space="preserve"> LOG(H69*1000)</f>
        <v>2.1090799916955554</v>
      </c>
      <c r="J69" s="74"/>
      <c r="K69" s="30"/>
      <c r="L69" s="102"/>
      <c r="M69" s="26"/>
      <c r="N69" s="73">
        <v>0.63671242030332698</v>
      </c>
      <c r="O69" s="29">
        <v>21.37</v>
      </c>
      <c r="P69" s="82">
        <f>(N69-0.01*O69)/O69</f>
        <v>1.979468508672564E-2</v>
      </c>
      <c r="Q69" s="27">
        <f xml:space="preserve"> LOG(P69*1000)</f>
        <v>1.296548596960402</v>
      </c>
      <c r="R69" s="74"/>
      <c r="S69" s="30"/>
      <c r="T69" s="28"/>
      <c r="U69" s="31"/>
      <c r="V69" s="73">
        <v>2.17319408298698</v>
      </c>
      <c r="W69" s="29">
        <v>116.06</v>
      </c>
      <c r="X69" s="67">
        <f>(V69-0.01*W69)/W69</f>
        <v>8.7247465361621566E-3</v>
      </c>
      <c r="Y69" s="23">
        <f xml:space="preserve"> LOG(X69*1000)</f>
        <v>0.94075281906444763</v>
      </c>
      <c r="Z69" s="74">
        <v>0.2694393229780388</v>
      </c>
      <c r="AA69" s="30">
        <v>6.95</v>
      </c>
      <c r="AB69" s="68">
        <f>(Z69-0.01*AA69)/AA69</f>
        <v>2.8768247910509179E-2</v>
      </c>
      <c r="AC69" s="26">
        <f t="shared" ref="AC69:AC72" si="11" xml:space="preserve"> LOG(AB69*1000)</f>
        <v>1.4589134126039631</v>
      </c>
      <c r="AD69" s="73"/>
      <c r="AE69" s="29"/>
      <c r="AF69" s="73"/>
      <c r="AG69" s="23"/>
      <c r="AH69" s="74"/>
      <c r="AI69" s="30"/>
      <c r="AJ69" s="74"/>
      <c r="AK69" s="26"/>
      <c r="AL69" s="73"/>
      <c r="AM69" s="29"/>
      <c r="AN69" s="73"/>
      <c r="AO69" s="23"/>
      <c r="AP69" s="74">
        <v>1.9804048954608036</v>
      </c>
      <c r="AQ69" s="30">
        <v>5.95</v>
      </c>
      <c r="AR69" s="68">
        <f>(AP69-0.01*AQ69)/AQ69</f>
        <v>0.32284115890097537</v>
      </c>
      <c r="AS69" s="26">
        <f xml:space="preserve"> LOG(AR69*1000)</f>
        <v>2.5089888976240182</v>
      </c>
      <c r="AT69" s="73">
        <v>7.4122068568076553</v>
      </c>
      <c r="AU69" s="29">
        <v>154.77000000000001</v>
      </c>
      <c r="AV69" s="67">
        <f t="shared" ref="AV69:AV74" si="12">(AT69-0.01*AU69)/AU69</f>
        <v>3.789175458297897E-2</v>
      </c>
      <c r="AW69" s="23">
        <f t="shared" ref="AW69:AW76" si="13" xml:space="preserve"> LOG(AV69*1000)</f>
        <v>1.5785447158071426</v>
      </c>
      <c r="AX69" s="74"/>
      <c r="AY69" s="30"/>
      <c r="AZ69" s="74"/>
      <c r="BA69" s="26"/>
      <c r="BB69" s="73">
        <v>1.7972748460248111</v>
      </c>
      <c r="BC69" s="29">
        <v>0.11</v>
      </c>
      <c r="BD69" s="67">
        <f>(BB69-0.01*BC69)/BC69</f>
        <v>16.328862236589192</v>
      </c>
      <c r="BE69" s="23">
        <f t="shared" ref="BE69" si="14" xml:space="preserve"> LOG(BD69*1000)</f>
        <v>4.2129559249947555</v>
      </c>
      <c r="BF69" s="74">
        <v>5.6946969044241209</v>
      </c>
      <c r="BG69" s="30">
        <v>7.21</v>
      </c>
      <c r="BH69" s="68">
        <f>(BF69-0.01*BG69)/BG69</f>
        <v>0.77983313514897656</v>
      </c>
      <c r="BI69" s="26">
        <f xml:space="preserve"> LOG(BH69*1000)</f>
        <v>2.8920016844383079</v>
      </c>
      <c r="BJ69" s="47"/>
      <c r="BK69" s="66">
        <v>10</v>
      </c>
      <c r="BL69" s="46"/>
      <c r="BM69"/>
      <c r="BN69"/>
      <c r="BO69"/>
      <c r="BP69"/>
      <c r="BQ69"/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  <c r="CK69"/>
      <c r="CL69"/>
      <c r="CM69"/>
      <c r="CN69"/>
      <c r="CO69"/>
      <c r="CP69"/>
      <c r="CQ69"/>
      <c r="CR69"/>
      <c r="CS69"/>
      <c r="CT69"/>
      <c r="CU69"/>
      <c r="CV69"/>
      <c r="CW69"/>
      <c r="CX69"/>
      <c r="CY69"/>
    </row>
    <row r="70" spans="1:103" x14ac:dyDescent="0.35">
      <c r="A70" s="43" t="s">
        <v>41</v>
      </c>
      <c r="B70" s="53" t="s">
        <v>178</v>
      </c>
      <c r="C70" s="59">
        <v>63.763044766756764</v>
      </c>
      <c r="D70" s="44">
        <v>3.43</v>
      </c>
      <c r="E70" s="135">
        <v>7.2</v>
      </c>
      <c r="F70" s="73"/>
      <c r="G70" s="29"/>
      <c r="H70" s="67"/>
      <c r="I70" s="23"/>
      <c r="J70" s="74"/>
      <c r="K70" s="30"/>
      <c r="L70" s="102"/>
      <c r="M70" s="26"/>
      <c r="N70" s="73"/>
      <c r="O70" s="29"/>
      <c r="P70" s="82"/>
      <c r="Q70" s="27"/>
      <c r="R70" s="74"/>
      <c r="S70" s="30"/>
      <c r="T70" s="28"/>
      <c r="U70" s="31"/>
      <c r="V70" s="73"/>
      <c r="W70" s="29"/>
      <c r="X70" s="67"/>
      <c r="Y70" s="23"/>
      <c r="Z70" s="74"/>
      <c r="AA70" s="30"/>
      <c r="AB70" s="68"/>
      <c r="AC70" s="26"/>
      <c r="AD70" s="73">
        <v>3.1680702754409307</v>
      </c>
      <c r="AE70" s="29">
        <v>46.8</v>
      </c>
      <c r="AF70" s="67">
        <f>(AD70-0.01*AE70)/AE70</f>
        <v>5.7693809304293395E-2</v>
      </c>
      <c r="AG70" s="23">
        <f xml:space="preserve"> LOG(AF70*1000)</f>
        <v>1.7611292147289475</v>
      </c>
      <c r="AH70" s="74">
        <v>51.831294672318442</v>
      </c>
      <c r="AI70" s="30">
        <v>354.42</v>
      </c>
      <c r="AJ70" s="68">
        <f>(AH70-0.01*AI70)/AI70</f>
        <v>0.13624257850098315</v>
      </c>
      <c r="AK70" s="26">
        <f t="shared" ref="AK70" si="15" xml:space="preserve"> LOG(AJ70*1000)</f>
        <v>2.1343128544066268</v>
      </c>
      <c r="AL70" s="73"/>
      <c r="AM70" s="29"/>
      <c r="AN70" s="73"/>
      <c r="AO70" s="23"/>
      <c r="AP70" s="74"/>
      <c r="AQ70" s="30"/>
      <c r="AR70" s="74"/>
      <c r="AS70" s="26"/>
      <c r="AT70" s="73">
        <v>1.7449595352838325</v>
      </c>
      <c r="AU70" s="29">
        <v>30.05</v>
      </c>
      <c r="AV70" s="67">
        <f t="shared" si="12"/>
        <v>4.8068536947881282E-2</v>
      </c>
      <c r="AW70" s="23">
        <f t="shared" si="13"/>
        <v>1.6818609037984722</v>
      </c>
      <c r="AX70" s="74"/>
      <c r="AY70" s="30"/>
      <c r="AZ70" s="74"/>
      <c r="BA70" s="26"/>
      <c r="BB70" s="73"/>
      <c r="BC70" s="29"/>
      <c r="BD70" s="73"/>
      <c r="BE70" s="23"/>
      <c r="BF70" s="74"/>
      <c r="BG70" s="30"/>
      <c r="BH70" s="74"/>
      <c r="BI70" s="26"/>
      <c r="BJ70" s="75"/>
      <c r="BK70" s="66">
        <v>10</v>
      </c>
      <c r="BL70" s="46"/>
    </row>
    <row r="71" spans="1:103" s="8" customFormat="1" x14ac:dyDescent="0.35">
      <c r="A71" s="43" t="s">
        <v>42</v>
      </c>
      <c r="B71" s="53" t="s">
        <v>179</v>
      </c>
      <c r="C71" s="59">
        <v>24.762478709223544</v>
      </c>
      <c r="D71" s="44">
        <v>5.72</v>
      </c>
      <c r="E71" s="135">
        <v>6.8</v>
      </c>
      <c r="F71" s="73"/>
      <c r="G71" s="29"/>
      <c r="H71" s="67"/>
      <c r="I71" s="23"/>
      <c r="J71" s="74"/>
      <c r="K71" s="30"/>
      <c r="L71" s="102"/>
      <c r="M71" s="26"/>
      <c r="N71" s="73"/>
      <c r="O71" s="29"/>
      <c r="P71" s="82"/>
      <c r="Q71" s="27"/>
      <c r="R71" s="74"/>
      <c r="S71" s="30"/>
      <c r="T71" s="28"/>
      <c r="U71" s="31"/>
      <c r="V71" s="73">
        <v>2.4587241957461545</v>
      </c>
      <c r="W71" s="29">
        <v>181.66</v>
      </c>
      <c r="X71" s="82">
        <f>(V71-0.01*W71)/W71</f>
        <v>3.534758316339065E-3</v>
      </c>
      <c r="Y71" s="23">
        <f xml:space="preserve"> LOG(X71*1000)</f>
        <v>0.54835972493107044</v>
      </c>
      <c r="Z71" s="74">
        <v>0.27285251730187271</v>
      </c>
      <c r="AA71" s="30">
        <v>17.940000000000001</v>
      </c>
      <c r="AB71" s="68">
        <f>(Z71-0.01*AA71)/AA71</f>
        <v>5.2091704181645871E-3</v>
      </c>
      <c r="AC71" s="26">
        <f t="shared" si="11"/>
        <v>0.71676856562195346</v>
      </c>
      <c r="AD71" s="73"/>
      <c r="AE71" s="29"/>
      <c r="AF71" s="73"/>
      <c r="AG71" s="23"/>
      <c r="AH71" s="74"/>
      <c r="AI71" s="30"/>
      <c r="AJ71" s="74"/>
      <c r="AK71" s="26"/>
      <c r="AL71" s="73">
        <v>0.52289160413236035</v>
      </c>
      <c r="AM71" s="29">
        <v>3.46</v>
      </c>
      <c r="AN71" s="67">
        <f>(AL71-0.01*AM71)/AM71</f>
        <v>0.14112474107871686</v>
      </c>
      <c r="AO71" s="23">
        <f t="shared" ref="AO71" si="16" xml:space="preserve"> LOG(AN71*1000)</f>
        <v>2.149603158134529</v>
      </c>
      <c r="AP71" s="74">
        <v>0.30880145728415453</v>
      </c>
      <c r="AQ71" s="30">
        <v>5.96</v>
      </c>
      <c r="AR71" s="68">
        <f>(AP71-0.01*AQ71)/AQ71</f>
        <v>4.1812325047676936E-2</v>
      </c>
      <c r="AS71" s="26">
        <f xml:space="preserve"> LOG(AR71*1000)</f>
        <v>1.6213043179283417</v>
      </c>
      <c r="AT71" s="73">
        <v>9.5162812945000326</v>
      </c>
      <c r="AU71" s="29">
        <v>277.95999999999998</v>
      </c>
      <c r="AV71" s="67">
        <f t="shared" si="12"/>
        <v>2.4236153743344483E-2</v>
      </c>
      <c r="AW71" s="23">
        <f t="shared" si="13"/>
        <v>1.384463698803629</v>
      </c>
      <c r="AX71" s="74">
        <v>3.7865382907165572</v>
      </c>
      <c r="AY71" s="30">
        <v>25.98</v>
      </c>
      <c r="AZ71" s="68">
        <f>(AX71-0.01*AY71)/AY71</f>
        <v>0.13574820210610306</v>
      </c>
      <c r="BA71" s="26">
        <f xml:space="preserve"> LOG(AZ71*1000)</f>
        <v>2.1327340863598225</v>
      </c>
      <c r="BB71" s="73"/>
      <c r="BC71" s="29"/>
      <c r="BD71" s="73"/>
      <c r="BE71" s="23"/>
      <c r="BF71" s="74">
        <v>0.5453377352617228</v>
      </c>
      <c r="BG71" s="30">
        <v>16.350000000000001</v>
      </c>
      <c r="BH71" s="68">
        <f>(BF71-0.01*BG71)/BG71</f>
        <v>2.3353989924264389E-2</v>
      </c>
      <c r="BI71" s="26">
        <f xml:space="preserve"> LOG(BH71*1000)</f>
        <v>1.3683610885022199</v>
      </c>
      <c r="BJ71" s="47"/>
      <c r="BK71" s="66">
        <v>10</v>
      </c>
      <c r="BL71" s="46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  <c r="CK71"/>
      <c r="CL71"/>
      <c r="CM71"/>
      <c r="CN71"/>
      <c r="CO71"/>
      <c r="CP71"/>
      <c r="CQ71"/>
      <c r="CR71"/>
      <c r="CS71"/>
      <c r="CT71"/>
      <c r="CU71"/>
      <c r="CV71"/>
      <c r="CW71"/>
      <c r="CX71"/>
      <c r="CY71"/>
    </row>
    <row r="72" spans="1:103" x14ac:dyDescent="0.35">
      <c r="A72" s="43" t="s">
        <v>43</v>
      </c>
      <c r="B72" s="53" t="s">
        <v>180</v>
      </c>
      <c r="C72" s="59">
        <v>7.9911240046125016</v>
      </c>
      <c r="D72" s="44">
        <v>3.28</v>
      </c>
      <c r="E72" s="135">
        <v>7</v>
      </c>
      <c r="F72" s="73"/>
      <c r="G72" s="29"/>
      <c r="H72" s="67"/>
      <c r="I72" s="23"/>
      <c r="J72" s="74"/>
      <c r="K72" s="30"/>
      <c r="L72" s="102"/>
      <c r="M72" s="26"/>
      <c r="N72" s="73">
        <v>0.17563426983837124</v>
      </c>
      <c r="O72" s="29">
        <v>9.8000000000000007</v>
      </c>
      <c r="P72" s="82">
        <f>(N72-0.01*O72)/O72</f>
        <v>7.9218642692215537E-3</v>
      </c>
      <c r="Q72" s="27">
        <f xml:space="preserve"> LOG(P72*1000)</f>
        <v>0.89882739706434933</v>
      </c>
      <c r="R72" s="74"/>
      <c r="S72" s="30"/>
      <c r="T72" s="28"/>
      <c r="U72" s="31"/>
      <c r="V72" s="73">
        <v>0.89853503888966746</v>
      </c>
      <c r="W72" s="29">
        <v>47.11</v>
      </c>
      <c r="X72" s="67">
        <f>(V72-0.01*W72)/W72</f>
        <v>9.0731275501945968E-3</v>
      </c>
      <c r="Y72" s="23">
        <f xml:space="preserve"> LOG(X72*1000)</f>
        <v>0.95775701624003795</v>
      </c>
      <c r="Z72" s="74">
        <v>0.18548653964308048</v>
      </c>
      <c r="AA72" s="30">
        <v>6.68</v>
      </c>
      <c r="AB72" s="68">
        <f>(Z72-0.01*AA72)/AA72</f>
        <v>1.7767446054353368E-2</v>
      </c>
      <c r="AC72" s="26">
        <f t="shared" si="11"/>
        <v>1.2496250055084586</v>
      </c>
      <c r="AD72" s="73"/>
      <c r="AE72" s="29"/>
      <c r="AF72" s="73"/>
      <c r="AG72" s="23"/>
      <c r="AH72" s="74"/>
      <c r="AI72" s="30"/>
      <c r="AJ72" s="74"/>
      <c r="AK72" s="26"/>
      <c r="AL72" s="73"/>
      <c r="AM72" s="29"/>
      <c r="AN72" s="73"/>
      <c r="AO72" s="23"/>
      <c r="AP72" s="74">
        <v>0.10189773327274088</v>
      </c>
      <c r="AQ72" s="30">
        <v>1.24</v>
      </c>
      <c r="AR72" s="68">
        <f>(AP72-0.01*AQ72)/AQ72</f>
        <v>7.2175591348984589E-2</v>
      </c>
      <c r="AS72" s="26">
        <f xml:space="preserve"> LOG(AR72*1000)</f>
        <v>1.85839035082846</v>
      </c>
      <c r="AT72" s="73">
        <v>2.8860623505769931</v>
      </c>
      <c r="AU72" s="29">
        <v>66.88</v>
      </c>
      <c r="AV72" s="67">
        <f t="shared" si="12"/>
        <v>3.315284615097179E-2</v>
      </c>
      <c r="AW72" s="23">
        <f t="shared" si="13"/>
        <v>1.5205208182491594</v>
      </c>
      <c r="AX72" s="74"/>
      <c r="AY72" s="30"/>
      <c r="AZ72" s="74"/>
      <c r="BA72" s="26"/>
      <c r="BB72" s="73"/>
      <c r="BC72" s="29"/>
      <c r="BD72" s="73"/>
      <c r="BE72" s="23"/>
      <c r="BF72" s="74">
        <v>1.4745052329851043</v>
      </c>
      <c r="BG72" s="30">
        <v>2.0499999999999998</v>
      </c>
      <c r="BH72" s="68">
        <f>(BF72-0.01*BG72)/BG72</f>
        <v>0.70927084535858753</v>
      </c>
      <c r="BI72" s="26">
        <f xml:space="preserve"> LOG(BH72*1000)</f>
        <v>2.8508121085019726</v>
      </c>
      <c r="BJ72" s="47"/>
      <c r="BK72" s="66">
        <v>10</v>
      </c>
      <c r="BL72" s="46"/>
    </row>
    <row r="73" spans="1:103" x14ac:dyDescent="0.35">
      <c r="A73" s="43" t="s">
        <v>45</v>
      </c>
      <c r="B73" s="53" t="s">
        <v>181</v>
      </c>
      <c r="C73" s="59">
        <v>15.791531600189172</v>
      </c>
      <c r="D73" s="44">
        <v>5.27</v>
      </c>
      <c r="E73" s="135">
        <v>7</v>
      </c>
      <c r="F73" s="73">
        <v>6.0839815163690929</v>
      </c>
      <c r="G73" s="29">
        <v>5.8</v>
      </c>
      <c r="H73" s="67">
        <f>(F73-0.01*G73)/G73</f>
        <v>1.0389623304084643</v>
      </c>
      <c r="I73" s="23">
        <f t="shared" ref="I73" si="17" xml:space="preserve"> LOG(H73*1000)</f>
        <v>3.0165998016550484</v>
      </c>
      <c r="J73" s="74"/>
      <c r="K73" s="30"/>
      <c r="L73" s="102"/>
      <c r="M73" s="26"/>
      <c r="N73" s="73">
        <v>0.28765172451244325</v>
      </c>
      <c r="O73" s="29">
        <v>5.73</v>
      </c>
      <c r="P73" s="82">
        <f>(N73-0.01*O73)/O73</f>
        <v>4.0200999042311204E-2</v>
      </c>
      <c r="Q73" s="27">
        <f xml:space="preserve"> LOG(P73*1000)</f>
        <v>1.6042368459494378</v>
      </c>
      <c r="R73" s="74">
        <v>0.22301194048354445</v>
      </c>
      <c r="S73" s="30">
        <v>0.94799999999999995</v>
      </c>
      <c r="T73" s="83">
        <f>(R73-0.01*S73)/S73</f>
        <v>0.2252446629573254</v>
      </c>
      <c r="U73" s="31">
        <f xml:space="preserve"> LOG(T73*1000)</f>
        <v>2.3526545094151712</v>
      </c>
      <c r="V73" s="73"/>
      <c r="W73" s="29"/>
      <c r="X73" s="67"/>
      <c r="Y73" s="23"/>
      <c r="Z73" s="74"/>
      <c r="AA73" s="30"/>
      <c r="AB73" s="68"/>
      <c r="AC73" s="26"/>
      <c r="AD73" s="73">
        <v>1.7047675178557138</v>
      </c>
      <c r="AE73" s="29">
        <v>10.92</v>
      </c>
      <c r="AF73" s="67">
        <f>(AD73-0.01*AE73)/AE73</f>
        <v>0.14611424156187855</v>
      </c>
      <c r="AG73" s="23">
        <f xml:space="preserve"> LOG(AF73*1000)</f>
        <v>2.1646925481061263</v>
      </c>
      <c r="AH73" s="74"/>
      <c r="AI73" s="30"/>
      <c r="AJ73" s="74"/>
      <c r="AK73" s="26"/>
      <c r="AL73" s="73"/>
      <c r="AM73" s="29"/>
      <c r="AN73" s="73"/>
      <c r="AO73" s="23"/>
      <c r="AP73" s="74">
        <v>1.4287220670102037</v>
      </c>
      <c r="AQ73" s="30">
        <v>0.83</v>
      </c>
      <c r="AR73" s="68">
        <f>(AP73-0.01*AQ73)/AQ73</f>
        <v>1.711351887964101</v>
      </c>
      <c r="AS73" s="26">
        <f xml:space="preserve"> LOG(AR73*1000)</f>
        <v>3.2333393183010402</v>
      </c>
      <c r="AT73" s="73">
        <v>0.99772364358205112</v>
      </c>
      <c r="AU73" s="29">
        <v>3.67</v>
      </c>
      <c r="AV73" s="67">
        <f t="shared" si="12"/>
        <v>0.26185930342835184</v>
      </c>
      <c r="AW73" s="23">
        <f t="shared" si="13"/>
        <v>2.4180680082769177</v>
      </c>
      <c r="AX73" s="74"/>
      <c r="AY73" s="30"/>
      <c r="AZ73" s="74"/>
      <c r="BA73" s="26"/>
      <c r="BB73" s="73"/>
      <c r="BC73" s="29"/>
      <c r="BD73" s="73"/>
      <c r="BE73" s="23"/>
      <c r="BF73" s="74"/>
      <c r="BG73" s="30"/>
      <c r="BH73" s="74"/>
      <c r="BI73" s="26"/>
      <c r="BJ73" s="75"/>
      <c r="BK73" s="66">
        <v>10</v>
      </c>
      <c r="BL73" s="46"/>
    </row>
    <row r="74" spans="1:103" x14ac:dyDescent="0.35">
      <c r="A74" s="43" t="s">
        <v>47</v>
      </c>
      <c r="B74" s="53" t="s">
        <v>182</v>
      </c>
      <c r="C74" s="59">
        <v>21.756020188909282</v>
      </c>
      <c r="D74" s="44">
        <v>5.54</v>
      </c>
      <c r="E74" s="135">
        <v>6.8</v>
      </c>
      <c r="F74" s="73"/>
      <c r="G74" s="29"/>
      <c r="H74" s="67"/>
      <c r="I74" s="23"/>
      <c r="J74" s="74"/>
      <c r="K74" s="30"/>
      <c r="L74" s="102"/>
      <c r="M74" s="26"/>
      <c r="N74" s="73">
        <v>0.3028237012957119</v>
      </c>
      <c r="O74" s="29">
        <v>17.57</v>
      </c>
      <c r="P74" s="82">
        <f>(N74-0.01*O74)/O74</f>
        <v>7.2352704209283948E-3</v>
      </c>
      <c r="Q74" s="27">
        <f xml:space="preserve"> LOG(P74*1000)</f>
        <v>0.85945476767651319</v>
      </c>
      <c r="R74" s="74"/>
      <c r="S74" s="30"/>
      <c r="T74" s="28"/>
      <c r="U74" s="31"/>
      <c r="V74" s="73">
        <v>2.3735353759743729</v>
      </c>
      <c r="W74" s="29">
        <v>130.44999999999999</v>
      </c>
      <c r="X74" s="67">
        <f>(V74-0.01*W74)/W74</f>
        <v>8.1949818012600466E-3</v>
      </c>
      <c r="Y74" s="23">
        <f xml:space="preserve"> LOG(X74*1000)</f>
        <v>0.9135479934622085</v>
      </c>
      <c r="Z74" s="74">
        <v>0.24185184514747846</v>
      </c>
      <c r="AA74" s="30">
        <v>10.81</v>
      </c>
      <c r="AB74" s="68">
        <f>(Z74-0.01*AA74)/AA74</f>
        <v>1.2372973649165444E-2</v>
      </c>
      <c r="AC74" s="26">
        <f xml:space="preserve"> LOG(AB74*1000)</f>
        <v>1.0924740880060553</v>
      </c>
      <c r="AD74" s="73"/>
      <c r="AE74" s="29"/>
      <c r="AF74" s="73"/>
      <c r="AG74" s="23"/>
      <c r="AH74" s="74"/>
      <c r="AI74" s="30"/>
      <c r="AJ74" s="74"/>
      <c r="AK74" s="26"/>
      <c r="AL74" s="73"/>
      <c r="AM74" s="29"/>
      <c r="AN74" s="73"/>
      <c r="AO74" s="23"/>
      <c r="AP74" s="74"/>
      <c r="AQ74" s="30"/>
      <c r="AR74" s="68"/>
      <c r="AS74" s="26"/>
      <c r="AT74" s="73">
        <v>4.1582053432052319</v>
      </c>
      <c r="AU74" s="29">
        <v>118.07</v>
      </c>
      <c r="AV74" s="67">
        <f t="shared" si="12"/>
        <v>2.521813621754241E-2</v>
      </c>
      <c r="AW74" s="62">
        <f t="shared" si="13"/>
        <v>1.4017129862677082</v>
      </c>
      <c r="AX74" s="74">
        <v>1.7122298932608981</v>
      </c>
      <c r="AY74" s="30">
        <v>7.68</v>
      </c>
      <c r="AZ74" s="68">
        <f>(AX74-0.01*AY74)/AY74</f>
        <v>0.21294660068501278</v>
      </c>
      <c r="BA74" s="26">
        <f t="shared" ref="BA74" si="18" xml:space="preserve"> LOG(AZ74*1000)</f>
        <v>2.3282707117235764</v>
      </c>
      <c r="BB74" s="73">
        <v>1.5807554290069428</v>
      </c>
      <c r="BC74" s="29">
        <v>2.33</v>
      </c>
      <c r="BD74" s="67">
        <f>(BB74-0.01*BC74)/BC74</f>
        <v>0.66843580644074796</v>
      </c>
      <c r="BE74" s="23">
        <f xml:space="preserve"> LOG(BD74*1000)</f>
        <v>2.8250597059178291</v>
      </c>
      <c r="BF74" s="74">
        <v>7.4384305774402115</v>
      </c>
      <c r="BG74" s="30">
        <v>9.49</v>
      </c>
      <c r="BH74" s="68">
        <f t="shared" ref="BH74:BH79" si="19">(BF74-0.01*BG74)/BG74</f>
        <v>0.77381776369233002</v>
      </c>
      <c r="BI74" s="26">
        <f t="shared" ref="BI74" si="20" xml:space="preserve"> LOG(BH74*1000)</f>
        <v>2.8886386951254792</v>
      </c>
      <c r="BJ74" s="47"/>
      <c r="BK74" s="66">
        <v>10</v>
      </c>
      <c r="BL74" s="46"/>
    </row>
    <row r="75" spans="1:103" x14ac:dyDescent="0.35">
      <c r="A75" s="43" t="s">
        <v>50</v>
      </c>
      <c r="B75" s="53" t="s">
        <v>183</v>
      </c>
      <c r="C75" s="59">
        <v>8.4643031592876508</v>
      </c>
      <c r="D75" s="44">
        <v>2.38</v>
      </c>
      <c r="E75" s="135">
        <v>7.5</v>
      </c>
      <c r="F75" s="73"/>
      <c r="G75" s="29"/>
      <c r="H75" s="67"/>
      <c r="I75" s="23"/>
      <c r="J75" s="74"/>
      <c r="K75" s="30"/>
      <c r="L75" s="102"/>
      <c r="M75" s="26"/>
      <c r="N75" s="73">
        <v>0.1966318063503828</v>
      </c>
      <c r="O75" s="29">
        <v>8.02</v>
      </c>
      <c r="P75" s="82">
        <f>(N75-0.01*O75)/O75</f>
        <v>1.4517681589823294E-2</v>
      </c>
      <c r="Q75" s="27">
        <f xml:space="preserve"> LOG(P75*1000)</f>
        <v>1.1618972669743479</v>
      </c>
      <c r="R75" s="74">
        <v>0.26781969721675331</v>
      </c>
      <c r="S75" s="30">
        <v>0.75800000000000001</v>
      </c>
      <c r="T75" s="83">
        <f>(R75-0.01*S75)/S75</f>
        <v>0.3433241388083817</v>
      </c>
      <c r="U75" s="31">
        <f t="shared" ref="U75" si="21" xml:space="preserve"> LOG(T75*1000)</f>
        <v>2.535704339349822</v>
      </c>
      <c r="V75" s="73"/>
      <c r="W75" s="29"/>
      <c r="X75" s="67"/>
      <c r="Y75" s="23"/>
      <c r="Z75" s="74"/>
      <c r="AA75" s="30"/>
      <c r="AB75" s="68"/>
      <c r="AC75" s="26"/>
      <c r="AD75" s="73"/>
      <c r="AE75" s="29"/>
      <c r="AF75" s="73"/>
      <c r="AG75" s="23"/>
      <c r="AH75" s="74"/>
      <c r="AI75" s="30"/>
      <c r="AJ75" s="74"/>
      <c r="AK75" s="26"/>
      <c r="AL75" s="73"/>
      <c r="AM75" s="29"/>
      <c r="AN75" s="73"/>
      <c r="AO75" s="23"/>
      <c r="AP75" s="74">
        <v>2.8291558725639745</v>
      </c>
      <c r="AQ75" s="30">
        <v>1.2</v>
      </c>
      <c r="AR75" s="68">
        <f>(AP75-0.01*AQ75)/AQ75</f>
        <v>2.3476298938033122</v>
      </c>
      <c r="AS75" s="26">
        <f xml:space="preserve"> LOG(AR75*1000)</f>
        <v>3.3706296310132697</v>
      </c>
      <c r="AT75" s="73">
        <v>1.8347788495099906</v>
      </c>
      <c r="AU75" s="29">
        <v>163.49</v>
      </c>
      <c r="AV75" s="103">
        <v>1.2225753838766319E-3</v>
      </c>
      <c r="AW75" s="62">
        <f t="shared" si="13"/>
        <v>8.7275647175853663E-2</v>
      </c>
      <c r="AX75" s="74"/>
      <c r="AY75" s="30"/>
      <c r="AZ75" s="74"/>
      <c r="BA75" s="26"/>
      <c r="BB75" s="73">
        <v>0.77919899763854916</v>
      </c>
      <c r="BC75" s="29">
        <v>7.46</v>
      </c>
      <c r="BD75" s="67">
        <f>(BB75-0.01*BC75)/BC75</f>
        <v>9.4450267779966374E-2</v>
      </c>
      <c r="BE75" s="23">
        <f xml:space="preserve"> LOG(BD75*1000)</f>
        <v>1.9752031935463321</v>
      </c>
      <c r="BF75" s="74">
        <v>0.89850422996901691</v>
      </c>
      <c r="BG75" s="30">
        <v>62.76</v>
      </c>
      <c r="BH75" s="83">
        <f t="shared" si="19"/>
        <v>4.3165109937701859E-3</v>
      </c>
      <c r="BI75" s="26">
        <f xml:space="preserve"> LOG(BH75*1000)</f>
        <v>0.63513285135806419</v>
      </c>
      <c r="BJ75" s="94"/>
      <c r="BK75" s="66">
        <v>10</v>
      </c>
      <c r="BL75" s="46"/>
    </row>
    <row r="76" spans="1:103" x14ac:dyDescent="0.35">
      <c r="A76" s="45" t="s">
        <v>53</v>
      </c>
      <c r="B76" s="54" t="s">
        <v>184</v>
      </c>
      <c r="C76" s="59">
        <v>38.034977405001626</v>
      </c>
      <c r="D76" s="44">
        <v>3.74</v>
      </c>
      <c r="E76" s="135">
        <v>7.1</v>
      </c>
      <c r="F76" s="73"/>
      <c r="G76" s="29"/>
      <c r="H76" s="67"/>
      <c r="I76" s="23"/>
      <c r="J76" s="74"/>
      <c r="K76" s="30"/>
      <c r="L76" s="102"/>
      <c r="M76" s="26"/>
      <c r="N76" s="73">
        <v>0.85286966393457697</v>
      </c>
      <c r="O76" s="29">
        <v>53.32</v>
      </c>
      <c r="P76" s="82">
        <f t="shared" ref="P76" si="22">(N76-0.01*O76)/O76</f>
        <v>5.995305025029575E-3</v>
      </c>
      <c r="Q76" s="27">
        <f t="shared" ref="Q76" si="23" xml:space="preserve"> LOG(P76*1000)</f>
        <v>0.77781128373465946</v>
      </c>
      <c r="R76" s="74"/>
      <c r="S76" s="30"/>
      <c r="T76" s="28"/>
      <c r="U76" s="31"/>
      <c r="V76" s="73">
        <v>2.4483182210992598</v>
      </c>
      <c r="W76" s="29">
        <v>198.29</v>
      </c>
      <c r="X76" s="82">
        <f>(V76-0.01*W76)/W76</f>
        <v>2.3471593176623124E-3</v>
      </c>
      <c r="Y76" s="23">
        <f t="shared" ref="Y76" si="24" xml:space="preserve"> LOG(X76*1000)</f>
        <v>0.3705425691185476</v>
      </c>
      <c r="Z76" s="74">
        <v>0.21880093885488267</v>
      </c>
      <c r="AA76" s="30">
        <v>9.4499999999999993</v>
      </c>
      <c r="AB76" s="68">
        <f>(Z76-0.01*AA76)/AA76</f>
        <v>1.3153538503162188E-2</v>
      </c>
      <c r="AC76" s="26">
        <f t="shared" ref="AC76" si="25" xml:space="preserve"> LOG(AB76*1000)</f>
        <v>1.1190426004055516</v>
      </c>
      <c r="AD76" s="73"/>
      <c r="AE76" s="29"/>
      <c r="AF76" s="73"/>
      <c r="AG76" s="23"/>
      <c r="AH76" s="74"/>
      <c r="AI76" s="30"/>
      <c r="AJ76" s="74"/>
      <c r="AK76" s="26"/>
      <c r="AL76" s="73">
        <v>0.56542821568489232</v>
      </c>
      <c r="AM76" s="29">
        <v>13.79</v>
      </c>
      <c r="AN76" s="67">
        <f>(AL76-0.01*AM76)/AM76</f>
        <v>3.1002771260688348E-2</v>
      </c>
      <c r="AO76" s="23">
        <f t="shared" ref="AO76" si="26" xml:space="preserve"> LOG(AN76*1000)</f>
        <v>1.4914005160740273</v>
      </c>
      <c r="AP76" s="74"/>
      <c r="AQ76" s="30"/>
      <c r="AR76" s="74"/>
      <c r="AS76" s="26"/>
      <c r="AT76" s="73">
        <v>9.8360125337113775</v>
      </c>
      <c r="AU76" s="29">
        <v>663.07</v>
      </c>
      <c r="AV76" s="82">
        <v>4.8340484921823882E-3</v>
      </c>
      <c r="AW76" s="62">
        <f t="shared" si="13"/>
        <v>0.68431100266691425</v>
      </c>
      <c r="AX76" s="74">
        <v>2.3280991477178841</v>
      </c>
      <c r="AY76" s="30">
        <v>49.68</v>
      </c>
      <c r="AZ76" s="68">
        <f>(AX76-0.01*AY76)/AY76</f>
        <v>3.6861899108653062E-2</v>
      </c>
      <c r="BA76" s="26">
        <f t="shared" ref="BA76" si="27" xml:space="preserve"> LOG(AZ76*1000)</f>
        <v>1.5665777061180588</v>
      </c>
      <c r="BB76" s="73">
        <v>0.98617784091058858</v>
      </c>
      <c r="BC76" s="29">
        <v>14.92</v>
      </c>
      <c r="BD76" s="67">
        <f>(BB76-0.01*BC76)/BC76</f>
        <v>5.6097710516795483E-2</v>
      </c>
      <c r="BE76" s="23">
        <f t="shared" ref="BE76" si="28" xml:space="preserve"> LOG(BD76*1000)</f>
        <v>1.7489451370099591</v>
      </c>
      <c r="BF76" s="74">
        <v>10.607091360928447</v>
      </c>
      <c r="BG76" s="30">
        <v>62.66</v>
      </c>
      <c r="BH76" s="68">
        <f t="shared" si="19"/>
        <v>0.15928010470680573</v>
      </c>
      <c r="BI76" s="26">
        <f t="shared" ref="BI76" si="29" xml:space="preserve"> LOG(BH76*1000)</f>
        <v>2.2021615325139097</v>
      </c>
      <c r="BJ76" s="47"/>
      <c r="BK76" s="66">
        <v>10</v>
      </c>
      <c r="BL76" s="63"/>
    </row>
    <row r="77" spans="1:103" x14ac:dyDescent="0.35">
      <c r="A77" s="43" t="s">
        <v>67</v>
      </c>
      <c r="B77" s="53" t="s">
        <v>185</v>
      </c>
      <c r="C77" s="59">
        <v>18.779601896040596</v>
      </c>
      <c r="D77" s="44">
        <v>6.65</v>
      </c>
      <c r="E77" s="135">
        <v>6.9</v>
      </c>
      <c r="F77" s="73"/>
      <c r="G77" s="29"/>
      <c r="H77" s="67"/>
      <c r="I77" s="23"/>
      <c r="J77" s="74"/>
      <c r="K77" s="30"/>
      <c r="L77" s="102"/>
      <c r="M77" s="26"/>
      <c r="N77" s="73">
        <v>0.30603567147894994</v>
      </c>
      <c r="O77" s="29">
        <v>9.5976136062706949</v>
      </c>
      <c r="P77" s="82">
        <f>(N77-0.01*O77)/O77</f>
        <v>2.1886642246047347E-2</v>
      </c>
      <c r="Q77" s="27">
        <f xml:space="preserve"> LOG(P77*1000)</f>
        <v>1.3401791390979902</v>
      </c>
      <c r="R77" s="74"/>
      <c r="S77" s="30"/>
      <c r="T77" s="28"/>
      <c r="U77" s="31"/>
      <c r="V77" s="73">
        <v>1.3934590448366526</v>
      </c>
      <c r="W77" s="29">
        <v>50.897766898139771</v>
      </c>
      <c r="X77" s="67">
        <f>(V77-0.01*W77)/W77</f>
        <v>1.7377606715542979E-2</v>
      </c>
      <c r="Y77" s="23">
        <f xml:space="preserve"> LOG(X77*1000)</f>
        <v>1.2399899641837844</v>
      </c>
      <c r="Z77" s="74">
        <v>0.24688912728116569</v>
      </c>
      <c r="AA77" s="30">
        <v>1.4808360893757442</v>
      </c>
      <c r="AB77" s="68">
        <f>(Z77-0.01*AA77)/AA77</f>
        <v>0.15672279197709407</v>
      </c>
      <c r="AC77" s="26">
        <f xml:space="preserve"> LOG(AB77*1000)</f>
        <v>2.1951321599024847</v>
      </c>
      <c r="AD77" s="73"/>
      <c r="AE77" s="29"/>
      <c r="AF77" s="67"/>
      <c r="AG77" s="23"/>
      <c r="AH77" s="74"/>
      <c r="AI77" s="30"/>
      <c r="AJ77" s="74"/>
      <c r="AK77" s="26"/>
      <c r="AL77" s="73"/>
      <c r="AM77" s="29"/>
      <c r="AN77" s="73"/>
      <c r="AO77" s="23"/>
      <c r="AP77" s="74"/>
      <c r="AQ77" s="30"/>
      <c r="AR77" s="68"/>
      <c r="AS77" s="26"/>
      <c r="AT77" s="73">
        <v>5.9912371027539724</v>
      </c>
      <c r="AU77" s="29">
        <v>97.701296500937303</v>
      </c>
      <c r="AV77" s="67">
        <f>(AT77-0.01*AU77)/AU77</f>
        <v>5.1321981563432935E-2</v>
      </c>
      <c r="AW77" s="23">
        <f xml:space="preserve"> LOG(AV77*1000)</f>
        <v>1.7103034163203994</v>
      </c>
      <c r="AX77" s="74"/>
      <c r="AY77" s="30"/>
      <c r="AZ77" s="74"/>
      <c r="BA77" s="26"/>
      <c r="BB77" s="73">
        <v>0.82139650934829656</v>
      </c>
      <c r="BC77" s="29">
        <v>4.1231905408715637</v>
      </c>
      <c r="BD77" s="67">
        <f>(BB77-0.01*BC77)/BC77</f>
        <v>0.18921381299411619</v>
      </c>
      <c r="BE77" s="23">
        <f xml:space="preserve"> LOG(BD77*1000)</f>
        <v>2.2769528376056876</v>
      </c>
      <c r="BF77" s="74">
        <v>4.7047250466872574</v>
      </c>
      <c r="BG77" s="30">
        <v>4.106940553301766</v>
      </c>
      <c r="BH77" s="68">
        <f t="shared" si="19"/>
        <v>1.1355546983520137</v>
      </c>
      <c r="BI77" s="26">
        <f xml:space="preserve"> LOG(BH77*1000)</f>
        <v>3.0552080585207997</v>
      </c>
      <c r="BJ77" s="47"/>
      <c r="BK77" s="66">
        <v>10</v>
      </c>
      <c r="BL77" s="46"/>
    </row>
    <row r="78" spans="1:103" s="8" customFormat="1" x14ac:dyDescent="0.35">
      <c r="A78" s="43" t="s">
        <v>68</v>
      </c>
      <c r="B78" s="53" t="s">
        <v>186</v>
      </c>
      <c r="C78" s="59">
        <v>22.132034271080421</v>
      </c>
      <c r="D78" s="44">
        <v>4.6100000000000003</v>
      </c>
      <c r="E78" s="135">
        <v>7.1</v>
      </c>
      <c r="F78" s="73"/>
      <c r="G78" s="29"/>
      <c r="H78" s="67"/>
      <c r="I78" s="23"/>
      <c r="J78" s="74">
        <v>1.0291578389736458</v>
      </c>
      <c r="K78" s="30">
        <v>33.736107248889923</v>
      </c>
      <c r="L78" s="68">
        <f>(J78-0.01*K78)/K78</f>
        <v>2.0506123050326439E-2</v>
      </c>
      <c r="M78" s="26">
        <f xml:space="preserve"> LOG(L78*1000)</f>
        <v>1.3118835591003946</v>
      </c>
      <c r="N78" s="73"/>
      <c r="O78" s="29"/>
      <c r="P78" s="82"/>
      <c r="Q78" s="27"/>
      <c r="R78" s="74"/>
      <c r="S78" s="30"/>
      <c r="T78" s="28"/>
      <c r="U78" s="31"/>
      <c r="V78" s="73"/>
      <c r="W78" s="29"/>
      <c r="X78" s="67"/>
      <c r="Y78" s="23"/>
      <c r="Z78" s="74"/>
      <c r="AA78" s="30"/>
      <c r="AB78" s="68"/>
      <c r="AC78" s="26"/>
      <c r="AD78" s="73"/>
      <c r="AE78" s="29"/>
      <c r="AF78" s="73"/>
      <c r="AG78" s="23"/>
      <c r="AH78" s="74"/>
      <c r="AI78" s="30"/>
      <c r="AJ78" s="74"/>
      <c r="AK78" s="26"/>
      <c r="AL78" s="73">
        <v>0.67749668876201752</v>
      </c>
      <c r="AM78" s="29">
        <v>10.960711064121575</v>
      </c>
      <c r="AN78" s="67">
        <f>(AL78-0.01*AM78)/AM78</f>
        <v>5.181138110461761E-2</v>
      </c>
      <c r="AO78" s="23">
        <f xml:space="preserve"> LOG(AN78*1000)</f>
        <v>1.7144251691664871</v>
      </c>
      <c r="AP78" s="74">
        <v>9.7307046827038484</v>
      </c>
      <c r="AQ78" s="30">
        <v>1.2468402809844557</v>
      </c>
      <c r="AR78" s="68">
        <f>(AP78-0.01*AQ78)/AQ78</f>
        <v>7.7942912401104572</v>
      </c>
      <c r="AS78" s="26">
        <f xml:space="preserve"> LOG(AR78*1000)</f>
        <v>3.8917766295308005</v>
      </c>
      <c r="AT78" s="73"/>
      <c r="AU78" s="29"/>
      <c r="AV78" s="67"/>
      <c r="AW78" s="23"/>
      <c r="AX78" s="74"/>
      <c r="AY78" s="30"/>
      <c r="AZ78" s="74"/>
      <c r="BA78" s="26"/>
      <c r="BB78" s="73"/>
      <c r="BC78" s="29"/>
      <c r="BD78" s="73"/>
      <c r="BE78" s="23"/>
      <c r="BF78" s="74">
        <v>8.8140127823131825E-2</v>
      </c>
      <c r="BG78" s="30">
        <v>3.486122133251456</v>
      </c>
      <c r="BH78" s="68">
        <f t="shared" si="19"/>
        <v>1.5283143978930191E-2</v>
      </c>
      <c r="BI78" s="26">
        <f xml:space="preserve"> LOG(BH78*1000)</f>
        <v>1.1842127045176634</v>
      </c>
      <c r="BJ78" s="47"/>
      <c r="BK78" s="66">
        <v>10</v>
      </c>
      <c r="BL78" s="46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  <c r="CK78"/>
      <c r="CL78"/>
      <c r="CM78"/>
      <c r="CN78"/>
      <c r="CO78"/>
      <c r="CP78"/>
      <c r="CQ78"/>
      <c r="CR78"/>
      <c r="CS78"/>
      <c r="CT78"/>
      <c r="CU78"/>
      <c r="CV78"/>
      <c r="CW78"/>
      <c r="CX78"/>
      <c r="CY78"/>
    </row>
    <row r="79" spans="1:103" x14ac:dyDescent="0.35">
      <c r="A79" s="43" t="s">
        <v>69</v>
      </c>
      <c r="B79" s="53" t="s">
        <v>187</v>
      </c>
      <c r="C79" s="59">
        <v>44.527726836815503</v>
      </c>
      <c r="D79" s="44">
        <v>4.9400000000000004</v>
      </c>
      <c r="E79" s="135">
        <v>7.1</v>
      </c>
      <c r="F79" s="73"/>
      <c r="G79" s="29"/>
      <c r="H79" s="67"/>
      <c r="I79" s="23"/>
      <c r="J79" s="74"/>
      <c r="K79" s="30"/>
      <c r="L79" s="102"/>
      <c r="M79" s="26"/>
      <c r="N79" s="73">
        <v>2.3911357759921872</v>
      </c>
      <c r="O79" s="29">
        <v>30.946729960047957</v>
      </c>
      <c r="P79" s="82">
        <f>(N79-0.01*O79)/O79</f>
        <v>6.7266185444443696E-2</v>
      </c>
      <c r="Q79" s="27">
        <f t="shared" ref="Q79:Q86" si="30" xml:space="preserve"> LOG(P79*1000)</f>
        <v>1.8277968002500562</v>
      </c>
      <c r="R79" s="74"/>
      <c r="S79" s="30"/>
      <c r="T79" s="28"/>
      <c r="U79" s="31"/>
      <c r="V79" s="73">
        <v>1.8812497408196216</v>
      </c>
      <c r="W79" s="29">
        <v>85.199462065393362</v>
      </c>
      <c r="X79" s="67">
        <f>(V79-0.01*W79)/W79</f>
        <v>1.208053543079534E-2</v>
      </c>
      <c r="Y79" s="23">
        <f t="shared" ref="Y79:Y86" si="31" xml:space="preserve"> LOG(X79*1000)</f>
        <v>1.082086183414799</v>
      </c>
      <c r="Z79" s="74">
        <v>0.26251461595614856</v>
      </c>
      <c r="AA79" s="30">
        <v>8.3474202512122631</v>
      </c>
      <c r="AB79" s="68">
        <f>(Z79-0.01*AA79)/AA79</f>
        <v>2.1448592266338166E-2</v>
      </c>
      <c r="AC79" s="26">
        <f t="shared" ref="AC79:AC86" si="32" xml:space="preserve"> LOG(AB79*1000)</f>
        <v>1.3313987934427052</v>
      </c>
      <c r="AD79" s="73"/>
      <c r="AE79" s="29"/>
      <c r="AF79" s="73"/>
      <c r="AG79" s="23"/>
      <c r="AH79" s="74"/>
      <c r="AI79" s="30"/>
      <c r="AJ79" s="74"/>
      <c r="AK79" s="26"/>
      <c r="AL79" s="73"/>
      <c r="AM79" s="29"/>
      <c r="AN79" s="73"/>
      <c r="AO79" s="23"/>
      <c r="AP79" s="74">
        <v>0.22234194915980576</v>
      </c>
      <c r="AQ79" s="30">
        <v>3.7434858695181195</v>
      </c>
      <c r="AR79" s="68">
        <f>(AP79-0.01*AQ79)/AQ79</f>
        <v>4.939436047301729E-2</v>
      </c>
      <c r="AS79" s="26">
        <f xml:space="preserve"> LOG(AR79*1000)</f>
        <v>1.6936773668333318</v>
      </c>
      <c r="AT79" s="73">
        <v>5.2035104452725953</v>
      </c>
      <c r="AU79" s="29">
        <v>89.79150972143492</v>
      </c>
      <c r="AV79" s="67">
        <f>(AT79-0.01*AU79)/AU79</f>
        <v>4.7951029684384729E-2</v>
      </c>
      <c r="AW79" s="23">
        <f t="shared" ref="AW79:AW86" si="33" xml:space="preserve"> LOG(AV79*1000)</f>
        <v>1.6807979375013642</v>
      </c>
      <c r="AX79" s="74">
        <v>1.496002745386054</v>
      </c>
      <c r="AY79" s="30">
        <v>2.1596400371703885</v>
      </c>
      <c r="AZ79" s="68">
        <f>(AX79-0.01*AY79)/AY79</f>
        <v>0.68270930323469659</v>
      </c>
      <c r="BA79" s="26">
        <f t="shared" ref="BA79" si="34" xml:space="preserve"> LOG(AZ79*1000)</f>
        <v>2.8342358209942931</v>
      </c>
      <c r="BB79" s="73"/>
      <c r="BC79" s="29"/>
      <c r="BD79" s="73"/>
      <c r="BE79" s="23"/>
      <c r="BF79" s="74">
        <v>22.997865591629331</v>
      </c>
      <c r="BG79" s="30">
        <v>27.546502861243503</v>
      </c>
      <c r="BH79" s="68">
        <f t="shared" si="19"/>
        <v>0.82487423820996653</v>
      </c>
      <c r="BI79" s="26">
        <f xml:space="preserve"> LOG(BH79*1000)</f>
        <v>2.9163877402895779</v>
      </c>
      <c r="BJ79" s="47"/>
      <c r="BK79" s="66">
        <v>10</v>
      </c>
      <c r="BL79" s="46"/>
    </row>
    <row r="80" spans="1:103" s="8" customFormat="1" x14ac:dyDescent="0.35">
      <c r="A80" s="43" t="s">
        <v>70</v>
      </c>
      <c r="B80" s="53" t="s">
        <v>188</v>
      </c>
      <c r="C80" s="59">
        <v>33.577188532172734</v>
      </c>
      <c r="D80" s="44">
        <v>7.37</v>
      </c>
      <c r="E80" s="135">
        <v>6.7</v>
      </c>
      <c r="F80" s="73"/>
      <c r="G80" s="29"/>
      <c r="H80" s="67"/>
      <c r="I80" s="23"/>
      <c r="J80" s="74"/>
      <c r="K80" s="30"/>
      <c r="L80" s="102"/>
      <c r="M80" s="26"/>
      <c r="N80" s="73">
        <v>0.31447846745134089</v>
      </c>
      <c r="O80" s="29">
        <v>17.480427099686313</v>
      </c>
      <c r="P80" s="82">
        <f>(N80-0.01*O80)/O80</f>
        <v>7.990319438875966E-3</v>
      </c>
      <c r="Q80" s="27">
        <f t="shared" si="30"/>
        <v>0.90256414198833423</v>
      </c>
      <c r="R80" s="74"/>
      <c r="S80" s="30"/>
      <c r="T80" s="28"/>
      <c r="U80" s="31"/>
      <c r="V80" s="73">
        <v>2.7156155442482843</v>
      </c>
      <c r="W80" s="29">
        <v>32.308406658062154</v>
      </c>
      <c r="X80" s="67">
        <f>(V80-0.01*W80)/W80</f>
        <v>7.4052908364969985E-2</v>
      </c>
      <c r="Y80" s="23">
        <f t="shared" si="31"/>
        <v>1.869542119738445</v>
      </c>
      <c r="Z80" s="74">
        <v>0.41963053311420906</v>
      </c>
      <c r="AA80" s="30">
        <v>11.469776752350919</v>
      </c>
      <c r="AB80" s="68">
        <f>(Z80-0.01*AA80)/AA80</f>
        <v>2.6585762929361191E-2</v>
      </c>
      <c r="AC80" s="26">
        <f t="shared" si="32"/>
        <v>1.4246491277405657</v>
      </c>
      <c r="AD80" s="73"/>
      <c r="AE80" s="29"/>
      <c r="AF80" s="73"/>
      <c r="AG80" s="23"/>
      <c r="AH80" s="74"/>
      <c r="AI80" s="30"/>
      <c r="AJ80" s="74"/>
      <c r="AK80" s="26"/>
      <c r="AL80" s="73">
        <v>0.8698101112976635</v>
      </c>
      <c r="AM80" s="29">
        <v>5.6736054449484854</v>
      </c>
      <c r="AN80" s="67">
        <f>(AL80-0.01*AM80)/AM80</f>
        <v>0.14330817761959497</v>
      </c>
      <c r="AO80" s="23">
        <f xml:space="preserve"> LOG(AN80*1000)</f>
        <v>2.1562709733263987</v>
      </c>
      <c r="AP80" s="74">
        <v>5.1680463416368543</v>
      </c>
      <c r="AQ80" s="30">
        <v>1.4063045703656398</v>
      </c>
      <c r="AR80" s="68">
        <f>(AP80-0.01*AQ80)/AQ80</f>
        <v>3.6649125691123654</v>
      </c>
      <c r="AS80" s="26">
        <f xml:space="preserve"> LOG(AR80*1000)</f>
        <v>3.5640636184846604</v>
      </c>
      <c r="AT80" s="73">
        <v>5.9866362432568589</v>
      </c>
      <c r="AU80" s="29">
        <v>44.378228539475913</v>
      </c>
      <c r="AV80" s="67">
        <f>(AT80-0.01*AU80)/AU80</f>
        <v>0.12490029774242896</v>
      </c>
      <c r="AW80" s="23">
        <f t="shared" si="33"/>
        <v>2.0965634736642862</v>
      </c>
      <c r="AX80" s="74"/>
      <c r="AY80" s="30"/>
      <c r="AZ80" s="74"/>
      <c r="BA80" s="26"/>
      <c r="BB80" s="73"/>
      <c r="BC80" s="29"/>
      <c r="BD80" s="73"/>
      <c r="BE80" s="23"/>
      <c r="BF80" s="74"/>
      <c r="BG80" s="30"/>
      <c r="BH80" s="74"/>
      <c r="BI80" s="26"/>
      <c r="BJ80" s="75"/>
      <c r="BK80" s="66">
        <v>10</v>
      </c>
      <c r="BL80" s="46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  <c r="CK80"/>
      <c r="CL80"/>
      <c r="CM80"/>
      <c r="CN80"/>
      <c r="CO80"/>
      <c r="CP80"/>
      <c r="CQ80"/>
      <c r="CR80"/>
      <c r="CS80"/>
      <c r="CT80"/>
      <c r="CU80"/>
      <c r="CV80"/>
      <c r="CW80"/>
      <c r="CX80"/>
      <c r="CY80"/>
    </row>
    <row r="81" spans="1:103" x14ac:dyDescent="0.35">
      <c r="A81" s="43" t="s">
        <v>71</v>
      </c>
      <c r="B81" s="53" t="s">
        <v>189</v>
      </c>
      <c r="C81" s="59">
        <v>15.135778326453217</v>
      </c>
      <c r="D81" s="44">
        <v>7.62</v>
      </c>
      <c r="E81" s="135">
        <v>6.8</v>
      </c>
      <c r="F81" s="73"/>
      <c r="G81" s="29"/>
      <c r="H81" s="67"/>
      <c r="I81" s="23"/>
      <c r="J81" s="74"/>
      <c r="K81" s="30"/>
      <c r="L81" s="102"/>
      <c r="M81" s="26"/>
      <c r="N81" s="73">
        <v>0.20392564657121651</v>
      </c>
      <c r="O81" s="29">
        <v>10.85233532897271</v>
      </c>
      <c r="P81" s="82">
        <f>(N81-0.01*O81)/O81</f>
        <v>8.790945947531853E-3</v>
      </c>
      <c r="Q81" s="27">
        <f t="shared" si="30"/>
        <v>0.94403560973695511</v>
      </c>
      <c r="R81" s="74"/>
      <c r="S81" s="30"/>
      <c r="T81" s="28"/>
      <c r="U81" s="31"/>
      <c r="V81" s="73">
        <v>0.76568930222467158</v>
      </c>
      <c r="W81" s="29">
        <v>28.720406589358014</v>
      </c>
      <c r="X81" s="67">
        <f>(V81-0.01*W81)/W81</f>
        <v>1.666011359701252E-2</v>
      </c>
      <c r="Y81" s="23">
        <f t="shared" si="31"/>
        <v>1.221677958318518</v>
      </c>
      <c r="Z81" s="74">
        <v>0.17256399206065859</v>
      </c>
      <c r="AA81" s="30">
        <v>1.731829484654265</v>
      </c>
      <c r="AB81" s="68">
        <f>(Z81-0.01*AA81)/AA81</f>
        <v>8.9642599684176483E-2</v>
      </c>
      <c r="AC81" s="26">
        <f t="shared" si="32"/>
        <v>1.9525144428219834</v>
      </c>
      <c r="AD81" s="73"/>
      <c r="AE81" s="29"/>
      <c r="AF81" s="73"/>
      <c r="AG81" s="23"/>
      <c r="AH81" s="74"/>
      <c r="AI81" s="30"/>
      <c r="AJ81" s="74"/>
      <c r="AK81" s="26"/>
      <c r="AL81" s="73"/>
      <c r="AM81" s="29"/>
      <c r="AN81" s="73"/>
      <c r="AO81" s="23"/>
      <c r="AP81" s="74"/>
      <c r="AQ81" s="30"/>
      <c r="AR81" s="68"/>
      <c r="AS81" s="26"/>
      <c r="AT81" s="73">
        <v>4.1548160513240404</v>
      </c>
      <c r="AU81" s="29">
        <v>86.192864445618454</v>
      </c>
      <c r="AV81" s="67">
        <f>(AT81-0.01*AU81)/AU81</f>
        <v>3.8203712430806065E-2</v>
      </c>
      <c r="AW81" s="23">
        <f t="shared" si="33"/>
        <v>1.5821055673586786</v>
      </c>
      <c r="AX81" s="74"/>
      <c r="AY81" s="30"/>
      <c r="AZ81" s="74"/>
      <c r="BA81" s="26"/>
      <c r="BB81" s="73"/>
      <c r="BC81" s="29"/>
      <c r="BD81" s="73"/>
      <c r="BE81" s="23"/>
      <c r="BF81" s="74">
        <v>4.3720267210035342</v>
      </c>
      <c r="BG81" s="30">
        <v>5.5585882957496171</v>
      </c>
      <c r="BH81" s="68">
        <f>(BF81-0.01*BG81)/BG81</f>
        <v>0.77653544540195774</v>
      </c>
      <c r="BI81" s="26">
        <f xml:space="preserve"> LOG(BH81*1000)</f>
        <v>2.8901612841355955</v>
      </c>
      <c r="BJ81" s="47"/>
      <c r="BK81" s="66">
        <v>10</v>
      </c>
      <c r="BL81" s="46"/>
    </row>
    <row r="82" spans="1:103" s="8" customFormat="1" x14ac:dyDescent="0.35">
      <c r="A82" s="43" t="s">
        <v>72</v>
      </c>
      <c r="B82" s="53" t="s">
        <v>190</v>
      </c>
      <c r="C82" s="59">
        <v>46.183974459871585</v>
      </c>
      <c r="D82" s="44">
        <v>4.8099999999999996</v>
      </c>
      <c r="E82" s="135">
        <v>7</v>
      </c>
      <c r="F82" s="73"/>
      <c r="G82" s="29"/>
      <c r="H82" s="67"/>
      <c r="I82" s="23"/>
      <c r="J82" s="74"/>
      <c r="K82" s="30"/>
      <c r="L82" s="102"/>
      <c r="M82" s="26"/>
      <c r="N82" s="73">
        <v>0.70460243070749518</v>
      </c>
      <c r="O82" s="29">
        <v>18.015451953831171</v>
      </c>
      <c r="P82" s="82">
        <f>(N82-0.01*O82)/O82</f>
        <v>2.9111004959143098E-2</v>
      </c>
      <c r="Q82" s="27">
        <f t="shared" si="30"/>
        <v>1.4640571982480464</v>
      </c>
      <c r="R82" s="74"/>
      <c r="S82" s="30"/>
      <c r="T82" s="28"/>
      <c r="U82" s="31"/>
      <c r="V82" s="73">
        <v>4.1571810224894659</v>
      </c>
      <c r="W82" s="29">
        <v>125.52255166026416</v>
      </c>
      <c r="X82" s="67">
        <f>(V82-0.01*W82)/W82</f>
        <v>2.311899708461294E-2</v>
      </c>
      <c r="Y82" s="23">
        <f t="shared" si="31"/>
        <v>1.3639689902127772</v>
      </c>
      <c r="Z82" s="74">
        <v>0.38916024967105389</v>
      </c>
      <c r="AA82" s="30">
        <v>6.2572977016457978</v>
      </c>
      <c r="AB82" s="68">
        <f>(Z82-0.01*AA82)/AA82</f>
        <v>5.2193021369064278E-2</v>
      </c>
      <c r="AC82" s="26">
        <f t="shared" si="32"/>
        <v>1.7176124381839173</v>
      </c>
      <c r="AD82" s="73"/>
      <c r="AE82" s="29"/>
      <c r="AF82" s="73"/>
      <c r="AG82" s="23"/>
      <c r="AH82" s="74"/>
      <c r="AI82" s="30"/>
      <c r="AJ82" s="74"/>
      <c r="AK82" s="26"/>
      <c r="AL82" s="73"/>
      <c r="AM82" s="29"/>
      <c r="AN82" s="73"/>
      <c r="AO82" s="23"/>
      <c r="AP82" s="74">
        <v>12.669732712039877</v>
      </c>
      <c r="AQ82" s="30">
        <v>17.737425598172639</v>
      </c>
      <c r="AR82" s="68">
        <f>(AP82-0.01*AQ82)/AQ82</f>
        <v>0.7042937762820074</v>
      </c>
      <c r="AS82" s="26">
        <f xml:space="preserve"> LOG(AR82*1000)</f>
        <v>2.8477538506267148</v>
      </c>
      <c r="AT82" s="73">
        <v>7.5944108074167715</v>
      </c>
      <c r="AU82" s="29">
        <v>95.959062932518009</v>
      </c>
      <c r="AV82" s="67">
        <f>(AT82-0.01*AU82)/AU82</f>
        <v>6.9142194341324958E-2</v>
      </c>
      <c r="AW82" s="23">
        <f t="shared" si="33"/>
        <v>1.8397431584752095</v>
      </c>
      <c r="AX82" s="74"/>
      <c r="AY82" s="30"/>
      <c r="AZ82" s="74"/>
      <c r="BA82" s="26"/>
      <c r="BB82" s="73"/>
      <c r="BC82" s="29"/>
      <c r="BD82" s="73"/>
      <c r="BE82" s="23"/>
      <c r="BF82" s="74">
        <v>12.363774642144943</v>
      </c>
      <c r="BG82" s="30">
        <v>10.211548410075693</v>
      </c>
      <c r="BH82" s="68">
        <f>(BF82-0.01*BG82)/BG82</f>
        <v>1.2007639454507855</v>
      </c>
      <c r="BI82" s="26">
        <f xml:space="preserve"> LOG(BH82*1000)</f>
        <v>3.0794576391562254</v>
      </c>
      <c r="BJ82" s="47"/>
      <c r="BK82" s="66">
        <v>10</v>
      </c>
      <c r="BL82" s="46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  <c r="CK82"/>
      <c r="CL82"/>
      <c r="CM82"/>
      <c r="CN82"/>
      <c r="CO82"/>
      <c r="CP82"/>
      <c r="CQ82"/>
      <c r="CR82"/>
      <c r="CS82"/>
      <c r="CT82"/>
      <c r="CU82"/>
      <c r="CV82"/>
      <c r="CW82"/>
      <c r="CX82"/>
      <c r="CY82"/>
    </row>
    <row r="83" spans="1:103" x14ac:dyDescent="0.35">
      <c r="A83" s="43" t="s">
        <v>73</v>
      </c>
      <c r="B83" s="53" t="s">
        <v>191</v>
      </c>
      <c r="C83" s="59">
        <v>14.928531930919391</v>
      </c>
      <c r="D83" s="44">
        <v>4.32</v>
      </c>
      <c r="E83" s="135">
        <v>6.9</v>
      </c>
      <c r="F83" s="73"/>
      <c r="G83" s="29"/>
      <c r="H83" s="67"/>
      <c r="I83" s="23"/>
      <c r="J83" s="74"/>
      <c r="K83" s="30"/>
      <c r="L83" s="102"/>
      <c r="M83" s="26"/>
      <c r="N83" s="73">
        <v>0.56143385797645839</v>
      </c>
      <c r="O83" s="29">
        <v>27.208941128181223</v>
      </c>
      <c r="P83" s="82">
        <f>(N83-0.01*O83)/O83</f>
        <v>1.0634167839591608E-2</v>
      </c>
      <c r="Q83" s="27">
        <f t="shared" si="30"/>
        <v>1.0267035105233215</v>
      </c>
      <c r="R83" s="74"/>
      <c r="S83" s="30"/>
      <c r="T83" s="28"/>
      <c r="U83" s="31"/>
      <c r="V83" s="73">
        <v>1.8199023403883161</v>
      </c>
      <c r="W83" s="29">
        <v>91.120186201965126</v>
      </c>
      <c r="X83" s="67">
        <f>(V83-0.01*W83)/W83</f>
        <v>9.9725485234913574E-3</v>
      </c>
      <c r="Y83" s="23">
        <f t="shared" si="31"/>
        <v>0.99880615813637907</v>
      </c>
      <c r="Z83" s="74">
        <v>0.52989498413542591</v>
      </c>
      <c r="AA83" s="30">
        <v>28.743309230666469</v>
      </c>
      <c r="AB83" s="68">
        <f>(Z83-0.01*AA83)/AA83</f>
        <v>8.4354202184234468E-3</v>
      </c>
      <c r="AC83" s="26">
        <f t="shared" si="32"/>
        <v>0.92610672225374546</v>
      </c>
      <c r="AD83" s="73"/>
      <c r="AE83" s="29"/>
      <c r="AF83" s="73"/>
      <c r="AG83" s="23"/>
      <c r="AH83" s="74"/>
      <c r="AI83" s="30"/>
      <c r="AJ83" s="74"/>
      <c r="AK83" s="26"/>
      <c r="AL83" s="73">
        <v>0.69007388531173319</v>
      </c>
      <c r="AM83" s="29">
        <v>3.679703082169377</v>
      </c>
      <c r="AN83" s="67">
        <f>(AL83-0.01*AM83)/AM83</f>
        <v>0.17753520865735142</v>
      </c>
      <c r="AO83" s="23">
        <f xml:space="preserve"> LOG(AN83*1000)</f>
        <v>2.2492844949080704</v>
      </c>
      <c r="AP83" s="74">
        <v>5.5751062535205807E-2</v>
      </c>
      <c r="AQ83" s="30">
        <v>0.72345515429812823</v>
      </c>
      <c r="AR83" s="68">
        <f>(AP83-0.01*AQ83)/AQ83</f>
        <v>6.7062223144008976E-2</v>
      </c>
      <c r="AS83" s="26">
        <f xml:space="preserve"> LOG(AR83*1000)</f>
        <v>1.826477946396291</v>
      </c>
      <c r="AT83" s="73">
        <v>6.0708956491818302</v>
      </c>
      <c r="AU83" s="29">
        <v>111.15319596186512</v>
      </c>
      <c r="AV83" s="67">
        <f>(AT83-0.01*AU83)/AU83</f>
        <v>4.4617373766424648E-2</v>
      </c>
      <c r="AW83" s="23">
        <f t="shared" si="33"/>
        <v>1.6495040035919997</v>
      </c>
      <c r="AX83" s="74"/>
      <c r="AY83" s="30"/>
      <c r="AZ83" s="74"/>
      <c r="BA83" s="26"/>
      <c r="BB83" s="73"/>
      <c r="BC83" s="29"/>
      <c r="BD83" s="73"/>
      <c r="BE83" s="23"/>
      <c r="BF83" s="74">
        <v>2.7991818015691643</v>
      </c>
      <c r="BG83" s="30">
        <v>1.7837962688473898</v>
      </c>
      <c r="BH83" s="68">
        <f>(BF83-0.01*BG83)/BG83</f>
        <v>1.5592272993585032</v>
      </c>
      <c r="BI83" s="26">
        <f xml:space="preserve"> LOG(BH83*1000)</f>
        <v>3.1929094299172665</v>
      </c>
      <c r="BJ83" s="47"/>
      <c r="BK83" s="66">
        <v>10</v>
      </c>
      <c r="BL83" s="46"/>
    </row>
    <row r="84" spans="1:103" s="8" customFormat="1" x14ac:dyDescent="0.35">
      <c r="A84" s="43" t="s">
        <v>74</v>
      </c>
      <c r="B84" s="53" t="s">
        <v>192</v>
      </c>
      <c r="C84" s="59">
        <v>20.615185861856702</v>
      </c>
      <c r="D84" s="44">
        <v>5.59</v>
      </c>
      <c r="E84" s="135">
        <v>7.2</v>
      </c>
      <c r="F84" s="73">
        <v>3.1271607562049795</v>
      </c>
      <c r="G84" s="29">
        <v>39.058874030400354</v>
      </c>
      <c r="H84" s="67">
        <f>(F84-0.01*G84)/G84</f>
        <v>7.006274716908234E-2</v>
      </c>
      <c r="I84" s="23">
        <f xml:space="preserve"> LOG(H84*1000)</f>
        <v>1.8454871620565036</v>
      </c>
      <c r="J84" s="74"/>
      <c r="K84" s="30"/>
      <c r="L84" s="102"/>
      <c r="M84" s="26"/>
      <c r="N84" s="73">
        <v>0.5706921780040265</v>
      </c>
      <c r="O84" s="29">
        <v>16.802682570330546</v>
      </c>
      <c r="P84" s="82">
        <f t="shared" ref="P84:P86" si="35">(N84-0.01*O84)/O84</f>
        <v>2.3964349181465238E-2</v>
      </c>
      <c r="Q84" s="27">
        <f t="shared" si="30"/>
        <v>1.3795656390137503</v>
      </c>
      <c r="R84" s="74">
        <v>0.16147871453999529</v>
      </c>
      <c r="S84" s="30">
        <v>0.55191251378430373</v>
      </c>
      <c r="T84" s="83">
        <f>(R84-0.01*S84)/S84</f>
        <v>0.28258027405971042</v>
      </c>
      <c r="U84" s="31">
        <f t="shared" ref="U84:U89" si="36" xml:space="preserve"> LOG(T84*1000)</f>
        <v>2.4511418419922899</v>
      </c>
      <c r="V84" s="73">
        <v>1.8790013451424055</v>
      </c>
      <c r="W84" s="29">
        <v>71.179780387361646</v>
      </c>
      <c r="X84" s="67">
        <f t="shared" ref="X84:X86" si="37">(V84-0.01*W84)/W84</f>
        <v>1.6397964912463151E-2</v>
      </c>
      <c r="Y84" s="23">
        <f t="shared" si="31"/>
        <v>1.2147899527959078</v>
      </c>
      <c r="Z84" s="74">
        <v>0.37123220545656899</v>
      </c>
      <c r="AA84" s="30">
        <v>6.9774818830854821</v>
      </c>
      <c r="AB84" s="68">
        <f t="shared" ref="AB84:AB86" si="38">(Z84-0.01*AA84)/AA84</f>
        <v>4.3204323805769315E-2</v>
      </c>
      <c r="AC84" s="26">
        <f t="shared" si="32"/>
        <v>1.6355272123477764</v>
      </c>
      <c r="AD84" s="73"/>
      <c r="AE84" s="29"/>
      <c r="AF84" s="73"/>
      <c r="AG84" s="23"/>
      <c r="AH84" s="74"/>
      <c r="AI84" s="30"/>
      <c r="AJ84" s="74"/>
      <c r="AK84" s="26"/>
      <c r="AL84" s="73"/>
      <c r="AM84" s="29"/>
      <c r="AN84" s="73"/>
      <c r="AO84" s="23"/>
      <c r="AP84" s="74">
        <v>0.86829330289204321</v>
      </c>
      <c r="AQ84" s="30">
        <v>4.3836504338747284</v>
      </c>
      <c r="AR84" s="68">
        <f>(AP84-0.01*AQ84)/AQ84</f>
        <v>0.18807539765997144</v>
      </c>
      <c r="AS84" s="26">
        <f xml:space="preserve"> LOG(AR84*1000)</f>
        <v>2.2743319887490943</v>
      </c>
      <c r="AT84" s="73">
        <v>7.2963638564557893</v>
      </c>
      <c r="AU84" s="29">
        <v>87.238676353553387</v>
      </c>
      <c r="AV84" s="67">
        <f t="shared" ref="AV84:AV86" si="39">(AT84-0.01*AU84)/AU84</f>
        <v>7.363680149026694E-2</v>
      </c>
      <c r="AW84" s="23">
        <f t="shared" si="33"/>
        <v>1.8670949160990125</v>
      </c>
      <c r="AX84" s="74"/>
      <c r="AY84" s="30"/>
      <c r="AZ84" s="74"/>
      <c r="BA84" s="26"/>
      <c r="BB84" s="73"/>
      <c r="BC84" s="29"/>
      <c r="BD84" s="73"/>
      <c r="BE84" s="23"/>
      <c r="BF84" s="74">
        <v>3.2531577324039413</v>
      </c>
      <c r="BG84" s="30">
        <v>1.65183352887099</v>
      </c>
      <c r="BH84" s="68">
        <f t="shared" ref="BH84:BH87" si="40">(BF84-0.01*BG84)/BG84</f>
        <v>1.9594222665569931</v>
      </c>
      <c r="BI84" s="26">
        <f t="shared" ref="BI84:BI87" si="41" xml:space="preserve"> LOG(BH84*1000)</f>
        <v>3.292128038992999</v>
      </c>
      <c r="BJ84" s="47"/>
      <c r="BK84" s="66">
        <v>10</v>
      </c>
      <c r="BL84" s="46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  <c r="CK84"/>
      <c r="CL84"/>
      <c r="CM84"/>
      <c r="CN84"/>
      <c r="CO84"/>
      <c r="CP84"/>
      <c r="CQ84"/>
      <c r="CR84"/>
      <c r="CS84"/>
      <c r="CT84"/>
      <c r="CU84"/>
      <c r="CV84"/>
      <c r="CW84"/>
      <c r="CX84"/>
      <c r="CY84"/>
    </row>
    <row r="85" spans="1:103" x14ac:dyDescent="0.35">
      <c r="A85" s="43" t="s">
        <v>75</v>
      </c>
      <c r="B85" s="53" t="s">
        <v>193</v>
      </c>
      <c r="C85" s="59">
        <v>33.335732745288865</v>
      </c>
      <c r="D85" s="44">
        <v>3.7</v>
      </c>
      <c r="E85" s="135">
        <v>7.4</v>
      </c>
      <c r="F85" s="73">
        <v>3.0798335023160135</v>
      </c>
      <c r="G85" s="29">
        <v>25.282132824411587</v>
      </c>
      <c r="H85" s="67">
        <f>(F85-0.01*G85)/G85</f>
        <v>0.11181857929890428</v>
      </c>
      <c r="I85" s="23">
        <f xml:space="preserve"> LOG(H85*1000)</f>
        <v>2.0485139700674768</v>
      </c>
      <c r="J85" s="74"/>
      <c r="K85" s="30"/>
      <c r="L85" s="102"/>
      <c r="M85" s="26"/>
      <c r="N85" s="73">
        <v>0.33838826568303404</v>
      </c>
      <c r="O85" s="29">
        <v>11.182833352401598</v>
      </c>
      <c r="P85" s="82">
        <f t="shared" si="35"/>
        <v>2.02596180251906E-2</v>
      </c>
      <c r="Q85" s="27">
        <f t="shared" si="30"/>
        <v>1.3066312529139072</v>
      </c>
      <c r="R85" s="74">
        <v>0.3006369759411342</v>
      </c>
      <c r="S85" s="30">
        <v>0.2134176308085225</v>
      </c>
      <c r="T85" s="83">
        <f>(R85-0.01*S85)/S85</f>
        <v>1.3986791930084941</v>
      </c>
      <c r="U85" s="31">
        <f t="shared" si="36"/>
        <v>3.1457181142895414</v>
      </c>
      <c r="V85" s="73">
        <v>1.036856404935709</v>
      </c>
      <c r="W85" s="29">
        <v>43.017117945402745</v>
      </c>
      <c r="X85" s="67">
        <f t="shared" si="37"/>
        <v>1.4103344307065977E-2</v>
      </c>
      <c r="Y85" s="23">
        <f t="shared" si="31"/>
        <v>1.1493221085338501</v>
      </c>
      <c r="Z85" s="74">
        <v>0.19372442570495274</v>
      </c>
      <c r="AA85" s="30">
        <v>5.0328353037251814</v>
      </c>
      <c r="AB85" s="68">
        <f t="shared" si="38"/>
        <v>2.8492105148277488E-2</v>
      </c>
      <c r="AC85" s="26">
        <f t="shared" si="32"/>
        <v>1.4547245384112806</v>
      </c>
      <c r="AD85" s="73">
        <v>3.0501591908490076</v>
      </c>
      <c r="AE85" s="29">
        <v>11.882258078308251</v>
      </c>
      <c r="AF85" s="67">
        <f>(AD85-0.01*AE85)/AE85</f>
        <v>0.24669861492212911</v>
      </c>
      <c r="AG85" s="23">
        <f t="shared" ref="AG85" si="42" xml:space="preserve"> LOG(AF85*1000)</f>
        <v>2.3921667111704616</v>
      </c>
      <c r="AH85" s="74"/>
      <c r="AI85" s="30"/>
      <c r="AJ85" s="74"/>
      <c r="AK85" s="26"/>
      <c r="AL85" s="73"/>
      <c r="AM85" s="29"/>
      <c r="AN85" s="73"/>
      <c r="AO85" s="23"/>
      <c r="AP85" s="74">
        <v>2.7780618191628981</v>
      </c>
      <c r="AQ85" s="30">
        <v>8.3346350398207818</v>
      </c>
      <c r="AR85" s="68">
        <f>(AP85-0.01*AQ85)/AQ85</f>
        <v>0.32331535284868745</v>
      </c>
      <c r="AS85" s="26">
        <f xml:space="preserve"> LOG(AR85*1000)</f>
        <v>2.5096263278690718</v>
      </c>
      <c r="AT85" s="73">
        <v>3.5989852995193434</v>
      </c>
      <c r="AU85" s="29">
        <v>65.216746318114829</v>
      </c>
      <c r="AV85" s="67">
        <f t="shared" si="39"/>
        <v>4.5184987027169082E-2</v>
      </c>
      <c r="AW85" s="23">
        <f t="shared" si="33"/>
        <v>1.6549941619286426</v>
      </c>
      <c r="AX85" s="74"/>
      <c r="AY85" s="30"/>
      <c r="AZ85" s="74"/>
      <c r="BA85" s="26"/>
      <c r="BB85" s="73"/>
      <c r="BC85" s="29"/>
      <c r="BD85" s="73"/>
      <c r="BE85" s="23"/>
      <c r="BF85" s="74">
        <v>6.5970131564051311</v>
      </c>
      <c r="BG85" s="30">
        <v>7.872408687174568</v>
      </c>
      <c r="BH85" s="68">
        <f t="shared" si="40"/>
        <v>0.82799170222866314</v>
      </c>
      <c r="BI85" s="26">
        <f t="shared" si="41"/>
        <v>2.9180259844970049</v>
      </c>
      <c r="BJ85" s="47"/>
      <c r="BK85" s="66">
        <v>10</v>
      </c>
      <c r="BL85" s="46"/>
    </row>
    <row r="86" spans="1:103" s="8" customFormat="1" x14ac:dyDescent="0.35">
      <c r="A86" s="43" t="s">
        <v>76</v>
      </c>
      <c r="B86" s="53" t="s">
        <v>194</v>
      </c>
      <c r="C86" s="59">
        <v>16.494241599225994</v>
      </c>
      <c r="D86" s="44">
        <v>5.65</v>
      </c>
      <c r="E86" s="135">
        <v>7</v>
      </c>
      <c r="F86" s="21"/>
      <c r="G86" s="22"/>
      <c r="H86" s="67"/>
      <c r="I86" s="23"/>
      <c r="J86" s="24"/>
      <c r="K86" s="25"/>
      <c r="L86" s="68"/>
      <c r="M86" s="26"/>
      <c r="N86" s="21">
        <v>0.21444994409812912</v>
      </c>
      <c r="O86" s="29">
        <v>10.770459379033646</v>
      </c>
      <c r="P86" s="82">
        <f t="shared" si="35"/>
        <v>9.9109375516135256E-3</v>
      </c>
      <c r="Q86" s="27">
        <f t="shared" si="30"/>
        <v>0.99611473967526665</v>
      </c>
      <c r="R86" s="24"/>
      <c r="S86" s="25"/>
      <c r="T86" s="28"/>
      <c r="U86" s="31"/>
      <c r="V86" s="21">
        <v>2.1184655918042892</v>
      </c>
      <c r="W86" s="29">
        <v>110.0659779515664</v>
      </c>
      <c r="X86" s="67">
        <f t="shared" si="37"/>
        <v>9.2472336250580718E-3</v>
      </c>
      <c r="Y86" s="23">
        <f t="shared" si="31"/>
        <v>0.9660118299216206</v>
      </c>
      <c r="Z86" s="24">
        <v>0.16384635539321329</v>
      </c>
      <c r="AA86" s="30">
        <v>3.4831504660678414</v>
      </c>
      <c r="AB86" s="68">
        <f t="shared" si="38"/>
        <v>3.7039700693200561E-2</v>
      </c>
      <c r="AC86" s="26">
        <f t="shared" si="32"/>
        <v>1.5686674686196</v>
      </c>
      <c r="AD86" s="21"/>
      <c r="AE86" s="22"/>
      <c r="AF86" s="21"/>
      <c r="AG86" s="23"/>
      <c r="AH86" s="24"/>
      <c r="AI86" s="25"/>
      <c r="AJ86" s="24"/>
      <c r="AK86" s="26"/>
      <c r="AL86" s="21"/>
      <c r="AM86" s="22"/>
      <c r="AN86" s="21"/>
      <c r="AO86" s="23"/>
      <c r="AP86" s="24">
        <v>0.25651965239113661</v>
      </c>
      <c r="AQ86" s="30">
        <v>0.8211912488549109</v>
      </c>
      <c r="AR86" s="68">
        <f>(AP86-0.01*AQ86)/AQ86</f>
        <v>0.302375043875387</v>
      </c>
      <c r="AS86" s="26">
        <f xml:space="preserve"> LOG(AR86*1000)</f>
        <v>2.4805459443871731</v>
      </c>
      <c r="AT86" s="21">
        <v>2.2513456522364312</v>
      </c>
      <c r="AU86" s="29">
        <v>15.831082276001034</v>
      </c>
      <c r="AV86" s="67">
        <f t="shared" si="39"/>
        <v>0.13221047007312542</v>
      </c>
      <c r="AW86" s="23">
        <f t="shared" si="33"/>
        <v>2.1212658493624121</v>
      </c>
      <c r="AX86" s="24"/>
      <c r="AY86" s="25"/>
      <c r="AZ86" s="24"/>
      <c r="BA86" s="26"/>
      <c r="BB86" s="21"/>
      <c r="BC86" s="22"/>
      <c r="BD86" s="21"/>
      <c r="BE86" s="23"/>
      <c r="BF86" s="24">
        <v>8.1809072374632876</v>
      </c>
      <c r="BG86" s="30">
        <v>5.2818171379951355</v>
      </c>
      <c r="BH86" s="68">
        <f t="shared" si="40"/>
        <v>1.5388811944308594</v>
      </c>
      <c r="BI86" s="26">
        <f t="shared" si="41"/>
        <v>3.1872050924794704</v>
      </c>
      <c r="BJ86" s="47"/>
      <c r="BK86" s="66">
        <v>10</v>
      </c>
      <c r="BL86" s="4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  <c r="CK86"/>
      <c r="CL86"/>
      <c r="CM86"/>
      <c r="CN86"/>
      <c r="CO86"/>
      <c r="CP86"/>
      <c r="CQ86"/>
      <c r="CR86"/>
      <c r="CS86"/>
      <c r="CT86"/>
      <c r="CU86"/>
      <c r="CV86"/>
      <c r="CW86"/>
      <c r="CX86"/>
      <c r="CY86"/>
    </row>
    <row r="87" spans="1:103" ht="14" customHeight="1" x14ac:dyDescent="0.35">
      <c r="A87" s="43" t="s">
        <v>84</v>
      </c>
      <c r="B87" s="53" t="s">
        <v>195</v>
      </c>
      <c r="C87" s="58">
        <v>2.935778717104589</v>
      </c>
      <c r="D87" s="45">
        <v>3.6006769819277999</v>
      </c>
      <c r="E87" s="135">
        <v>6.8</v>
      </c>
      <c r="F87" s="21"/>
      <c r="G87" s="22"/>
      <c r="H87" s="67"/>
      <c r="I87" s="23"/>
      <c r="J87" s="24">
        <v>0.49481737329962305</v>
      </c>
      <c r="K87" s="30">
        <v>1.5475386169033705</v>
      </c>
      <c r="L87" s="68">
        <f>(J87-0.01*K87)/K87</f>
        <v>0.30974476623384956</v>
      </c>
      <c r="M87" s="26">
        <f t="shared" ref="M87" si="43" xml:space="preserve"> LOG(L87*1000)</f>
        <v>2.491003976823849</v>
      </c>
      <c r="N87" s="21"/>
      <c r="O87" s="22"/>
      <c r="P87" s="82"/>
      <c r="Q87" s="27"/>
      <c r="R87" s="24"/>
      <c r="S87" s="25"/>
      <c r="T87" s="28"/>
      <c r="U87" s="31"/>
      <c r="V87" s="21"/>
      <c r="W87" s="22"/>
      <c r="X87" s="67"/>
      <c r="Y87" s="23"/>
      <c r="Z87" s="24"/>
      <c r="AA87" s="25"/>
      <c r="AB87" s="68"/>
      <c r="AC87" s="26"/>
      <c r="AD87" s="21"/>
      <c r="AE87" s="22"/>
      <c r="AF87" s="21"/>
      <c r="AG87" s="23"/>
      <c r="AH87" s="24"/>
      <c r="AI87" s="25"/>
      <c r="AJ87" s="24"/>
      <c r="AK87" s="26"/>
      <c r="AL87" s="21">
        <v>0.25263232422761828</v>
      </c>
      <c r="AM87" s="29">
        <v>9.0967908423782617</v>
      </c>
      <c r="AN87" s="67">
        <f>(AL87-0.01*AM87)/AM87</f>
        <v>1.7771587651626185E-2</v>
      </c>
      <c r="AO87" s="23">
        <f t="shared" ref="AO87:AO89" si="44" xml:space="preserve"> LOG(AN87*1000)</f>
        <v>1.2497262278919861</v>
      </c>
      <c r="AP87" s="24"/>
      <c r="AQ87" s="25"/>
      <c r="AR87" s="68"/>
      <c r="AS87" s="26"/>
      <c r="AT87" s="21"/>
      <c r="AU87" s="22"/>
      <c r="AV87" s="67"/>
      <c r="AW87" s="23"/>
      <c r="AX87" s="24"/>
      <c r="AY87" s="25"/>
      <c r="AZ87" s="24"/>
      <c r="BA87" s="26"/>
      <c r="BB87" s="21"/>
      <c r="BC87" s="22"/>
      <c r="BD87" s="21"/>
      <c r="BE87" s="23"/>
      <c r="BF87" s="24">
        <v>6.5770060638340913E-2</v>
      </c>
      <c r="BG87" s="30">
        <v>2.6665636204778265</v>
      </c>
      <c r="BH87" s="68">
        <f t="shared" si="40"/>
        <v>1.4664725841626628E-2</v>
      </c>
      <c r="BI87" s="26">
        <f t="shared" si="41"/>
        <v>1.1662739482179221</v>
      </c>
      <c r="BJ87" s="47"/>
      <c r="BK87" s="66">
        <v>10</v>
      </c>
      <c r="BL87" s="46"/>
    </row>
    <row r="88" spans="1:103" s="8" customFormat="1" x14ac:dyDescent="0.35">
      <c r="A88" s="43" t="s">
        <v>98</v>
      </c>
      <c r="B88" s="53" t="s">
        <v>196</v>
      </c>
      <c r="C88" s="58">
        <v>13.908794790879284</v>
      </c>
      <c r="D88" s="45">
        <v>13.057167371855982</v>
      </c>
      <c r="E88" s="135">
        <v>6.9</v>
      </c>
      <c r="F88" s="21">
        <v>2.2921423881706815</v>
      </c>
      <c r="G88" s="29">
        <v>6.9313908044270747</v>
      </c>
      <c r="H88" s="67">
        <f>(F88-0.01*G88)/G88</f>
        <v>0.32069011008680853</v>
      </c>
      <c r="I88" s="23">
        <f xml:space="preserve"> LOG(H88*1000)</f>
        <v>2.5060855667230935</v>
      </c>
      <c r="J88" s="24"/>
      <c r="K88" s="25"/>
      <c r="L88" s="68"/>
      <c r="M88" s="26"/>
      <c r="N88" s="21"/>
      <c r="O88" s="22"/>
      <c r="P88" s="82"/>
      <c r="Q88" s="27"/>
      <c r="R88" s="24"/>
      <c r="S88" s="25"/>
      <c r="T88" s="28"/>
      <c r="U88" s="31"/>
      <c r="V88" s="21">
        <v>0.59121399851422018</v>
      </c>
      <c r="W88" s="29">
        <v>8.5418087572462316</v>
      </c>
      <c r="X88" s="67">
        <f>(V88-0.01*W88)/W88</f>
        <v>5.9214146010079946E-2</v>
      </c>
      <c r="Y88" s="23">
        <f xml:space="preserve"> LOG(X88*1000)</f>
        <v>1.7724254702402849</v>
      </c>
      <c r="Z88" s="24">
        <v>0.19311806789828923</v>
      </c>
      <c r="AA88" s="30">
        <v>3.1101646108723697</v>
      </c>
      <c r="AB88" s="68">
        <f>(Z88-0.01*AA88)/AA88</f>
        <v>5.2092555237493218E-2</v>
      </c>
      <c r="AC88" s="26">
        <f xml:space="preserve"> LOG(AB88*1000)</f>
        <v>1.7167756609137059</v>
      </c>
      <c r="AD88" s="21"/>
      <c r="AE88" s="22"/>
      <c r="AF88" s="21"/>
      <c r="AG88" s="23"/>
      <c r="AH88" s="24"/>
      <c r="AI88" s="25"/>
      <c r="AJ88" s="24"/>
      <c r="AK88" s="26"/>
      <c r="AL88" s="21"/>
      <c r="AM88" s="22"/>
      <c r="AN88" s="21"/>
      <c r="AO88" s="23"/>
      <c r="AP88" s="24">
        <v>2.7205384771287848</v>
      </c>
      <c r="AQ88" s="30">
        <v>7.8</v>
      </c>
      <c r="AR88" s="68">
        <f>(AP88-0.01*AQ88)/AQ88</f>
        <v>0.33878698424728015</v>
      </c>
      <c r="AS88" s="26">
        <f xml:space="preserve"> LOG(AR88*1000)</f>
        <v>2.5299267169533364</v>
      </c>
      <c r="AT88" s="21">
        <v>2.5326605581891304</v>
      </c>
      <c r="AU88" s="29">
        <v>23.221584146474299</v>
      </c>
      <c r="AV88" s="67">
        <f>(AT88-0.01*AU88)/AU88</f>
        <v>9.9064934683780428E-2</v>
      </c>
      <c r="AW88" s="23">
        <f xml:space="preserve"> LOG(AV88*1000)</f>
        <v>1.995919957530528</v>
      </c>
      <c r="AX88" s="24"/>
      <c r="AY88" s="25"/>
      <c r="AZ88" s="24"/>
      <c r="BA88" s="26"/>
      <c r="BB88" s="21"/>
      <c r="BC88" s="22"/>
      <c r="BD88" s="21"/>
      <c r="BE88" s="23"/>
      <c r="BF88" s="24"/>
      <c r="BG88" s="25"/>
      <c r="BH88" s="24"/>
      <c r="BI88" s="26"/>
      <c r="BJ88" s="35"/>
      <c r="BK88" s="66">
        <v>10</v>
      </c>
      <c r="BL88" s="46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  <c r="CK88"/>
      <c r="CL88"/>
      <c r="CM88"/>
      <c r="CN88"/>
      <c r="CO88"/>
      <c r="CP88"/>
      <c r="CQ88"/>
      <c r="CR88"/>
      <c r="CS88"/>
      <c r="CT88"/>
      <c r="CU88"/>
      <c r="CV88"/>
      <c r="CW88"/>
      <c r="CX88"/>
      <c r="CY88"/>
    </row>
    <row r="89" spans="1:103" x14ac:dyDescent="0.35">
      <c r="A89" s="43" t="s">
        <v>49</v>
      </c>
      <c r="B89" s="53" t="s">
        <v>197</v>
      </c>
      <c r="C89" s="59">
        <v>7.6107862796714869</v>
      </c>
      <c r="D89" s="44">
        <v>2.37</v>
      </c>
      <c r="E89" s="135">
        <v>7.5</v>
      </c>
      <c r="F89" s="73"/>
      <c r="G89" s="29"/>
      <c r="H89" s="67"/>
      <c r="I89" s="23"/>
      <c r="J89" s="74"/>
      <c r="K89" s="30"/>
      <c r="L89" s="102"/>
      <c r="M89" s="26"/>
      <c r="N89" s="73">
        <v>0.24587384823779301</v>
      </c>
      <c r="O89" s="22">
        <v>6.4390825869437958</v>
      </c>
      <c r="P89" s="82">
        <f>(N89-0.01*O89)/O89</f>
        <v>2.8184608586375188E-2</v>
      </c>
      <c r="Q89" s="27">
        <f xml:space="preserve"> LOG(P89*1000)</f>
        <v>1.4500120079354244</v>
      </c>
      <c r="R89" s="74">
        <v>0.36283960138710775</v>
      </c>
      <c r="S89" s="25">
        <v>0.2</v>
      </c>
      <c r="T89" s="83">
        <f>(R89-0.01*S89)/S89</f>
        <v>1.8041980069355386</v>
      </c>
      <c r="U89" s="31">
        <f t="shared" si="36"/>
        <v>3.2562841987272741</v>
      </c>
      <c r="V89" s="73">
        <v>0.3620211144493431</v>
      </c>
      <c r="W89" s="22">
        <v>5.3164644844956026</v>
      </c>
      <c r="X89" s="67">
        <f>(V89-0.01*W89)/W89</f>
        <v>5.8094335155459934E-2</v>
      </c>
      <c r="Y89" s="23">
        <f xml:space="preserve"> LOG(X89*1000)</f>
        <v>1.7641337859072039</v>
      </c>
      <c r="Z89" s="74">
        <v>0.20718549762598298</v>
      </c>
      <c r="AA89" s="25">
        <v>11.513710730593688</v>
      </c>
      <c r="AB89" s="68">
        <f>(Z89-0.01*AA89)/AA89</f>
        <v>7.9946763014863195E-3</v>
      </c>
      <c r="AC89" s="26">
        <f xml:space="preserve"> LOG(AB89*1000)</f>
        <v>0.90280088417678095</v>
      </c>
      <c r="AD89" s="73"/>
      <c r="AE89" s="29"/>
      <c r="AF89" s="73"/>
      <c r="AG89" s="23"/>
      <c r="AH89" s="74"/>
      <c r="AI89" s="30"/>
      <c r="AJ89" s="74"/>
      <c r="AK89" s="26"/>
      <c r="AL89" s="73">
        <v>0.74838816139099951</v>
      </c>
      <c r="AM89" s="22">
        <v>6.8856482548166165</v>
      </c>
      <c r="AN89" s="67">
        <f>(AL89-0.01*AM89)/AM89</f>
        <v>9.8688119650534076E-2</v>
      </c>
      <c r="AO89" s="23">
        <f t="shared" si="44"/>
        <v>1.9942648742424294</v>
      </c>
      <c r="AP89" s="74">
        <v>1.7619955680972095</v>
      </c>
      <c r="AQ89" s="25">
        <v>4.4049999999999994</v>
      </c>
      <c r="AR89" s="68">
        <f>(AP89-0.01*AQ89)/AQ89</f>
        <v>0.38999899389266962</v>
      </c>
      <c r="AS89" s="26">
        <f xml:space="preserve"> LOG(AR89*1000)</f>
        <v>2.5910634866484852</v>
      </c>
      <c r="AT89" s="73">
        <v>1.4003391710308317</v>
      </c>
      <c r="AU89" s="22">
        <v>28.003200063893118</v>
      </c>
      <c r="AV89" s="67">
        <f>(AT89-0.01*AU89)/AU89</f>
        <v>4.0006398120063673E-2</v>
      </c>
      <c r="AW89" s="62">
        <f xml:space="preserve"> LOG(AV89*1000)</f>
        <v>1.6021294524788059</v>
      </c>
      <c r="AX89" s="74"/>
      <c r="AY89" s="30"/>
      <c r="AZ89" s="74"/>
      <c r="BA89" s="26"/>
      <c r="BB89" s="73">
        <v>1.4544963740887713</v>
      </c>
      <c r="BC89" s="29">
        <v>2.5588352408714297</v>
      </c>
      <c r="BD89" s="67">
        <f>(BB89-0.01*BC89)/BC89</f>
        <v>0.55842126873062448</v>
      </c>
      <c r="BE89" s="23">
        <f t="shared" ref="BE89" si="45" xml:space="preserve"> LOG(BD89*1000)</f>
        <v>2.746961951012743</v>
      </c>
      <c r="BF89" s="74"/>
      <c r="BG89" s="30"/>
      <c r="BH89" s="74"/>
      <c r="BI89" s="26"/>
      <c r="BJ89" s="75"/>
      <c r="BK89" s="66">
        <v>10</v>
      </c>
      <c r="BL89" s="46"/>
    </row>
    <row r="90" spans="1:103" s="8" customFormat="1" x14ac:dyDescent="0.35">
      <c r="A90" s="43" t="s">
        <v>46</v>
      </c>
      <c r="B90" s="55" t="s">
        <v>198</v>
      </c>
      <c r="C90" s="59">
        <v>9.6061929473848906</v>
      </c>
      <c r="D90" s="44">
        <v>11.03</v>
      </c>
      <c r="E90" s="135">
        <v>6.9</v>
      </c>
      <c r="F90" s="73"/>
      <c r="G90" s="29"/>
      <c r="H90" s="67"/>
      <c r="I90" s="23"/>
      <c r="J90" s="74"/>
      <c r="K90" s="30"/>
      <c r="L90" s="102"/>
      <c r="M90" s="26"/>
      <c r="N90" s="73">
        <v>0.36635586123334646</v>
      </c>
      <c r="O90" s="29">
        <v>5.66</v>
      </c>
      <c r="P90" s="82">
        <f>(N90-0.01*O90)/O90</f>
        <v>5.4727183963488774E-2</v>
      </c>
      <c r="Q90" s="27">
        <f xml:space="preserve"> LOG(P90*1000)</f>
        <v>1.7382031017039499</v>
      </c>
      <c r="R90" s="74"/>
      <c r="S90" s="30"/>
      <c r="T90" s="28"/>
      <c r="U90" s="31"/>
      <c r="V90" s="73">
        <v>1.1957963748288876</v>
      </c>
      <c r="W90" s="29">
        <v>1.25</v>
      </c>
      <c r="X90" s="67">
        <f>(V90-0.01*W90)/W90</f>
        <v>0.94663709986311007</v>
      </c>
      <c r="Y90" s="23">
        <f t="shared" ref="Y90" si="46" xml:space="preserve"> LOG(X90*1000)</f>
        <v>2.9761835209962202</v>
      </c>
      <c r="Z90" s="74"/>
      <c r="AA90" s="30"/>
      <c r="AB90" s="68"/>
      <c r="AC90" s="26"/>
      <c r="AD90" s="73"/>
      <c r="AE90" s="29"/>
      <c r="AF90" s="73"/>
      <c r="AG90" s="23"/>
      <c r="AH90" s="74"/>
      <c r="AI90" s="30"/>
      <c r="AJ90" s="74"/>
      <c r="AK90" s="26"/>
      <c r="AL90" s="73"/>
      <c r="AM90" s="29"/>
      <c r="AN90" s="73"/>
      <c r="AO90" s="23"/>
      <c r="AP90" s="74"/>
      <c r="AQ90" s="30"/>
      <c r="AR90" s="74"/>
      <c r="AS90" s="26"/>
      <c r="AT90" s="73">
        <v>1.8692079146332616</v>
      </c>
      <c r="AU90" s="29">
        <v>2.98</v>
      </c>
      <c r="AV90" s="67">
        <f>(AT90-0.01*AU90)/AU90</f>
        <v>0.61725097806485285</v>
      </c>
      <c r="AW90" s="23">
        <f t="shared" ref="AW90:AW92" si="47" xml:space="preserve"> LOG(AV90*1000)</f>
        <v>2.7904617867657064</v>
      </c>
      <c r="AX90" s="74"/>
      <c r="AY90" s="30"/>
      <c r="AZ90" s="74"/>
      <c r="BA90" s="26"/>
      <c r="BB90" s="73"/>
      <c r="BC90" s="29"/>
      <c r="BD90" s="73"/>
      <c r="BE90" s="23"/>
      <c r="BF90" s="74"/>
      <c r="BG90" s="30"/>
      <c r="BH90" s="74"/>
      <c r="BI90" s="26"/>
      <c r="BJ90" s="75"/>
      <c r="BK90" s="66">
        <v>10</v>
      </c>
      <c r="BL90" s="46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  <c r="CK90"/>
      <c r="CL90"/>
      <c r="CM90"/>
      <c r="CN90"/>
      <c r="CO90"/>
      <c r="CP90"/>
      <c r="CQ90"/>
      <c r="CR90"/>
      <c r="CS90"/>
      <c r="CT90"/>
      <c r="CU90"/>
      <c r="CV90"/>
      <c r="CW90"/>
      <c r="CX90"/>
      <c r="CY90"/>
    </row>
    <row r="91" spans="1:103" s="8" customFormat="1" x14ac:dyDescent="0.35">
      <c r="A91" s="43" t="s">
        <v>48</v>
      </c>
      <c r="B91" s="55" t="s">
        <v>199</v>
      </c>
      <c r="C91" s="59">
        <v>3.6591039632037861</v>
      </c>
      <c r="D91" s="44">
        <v>3.74</v>
      </c>
      <c r="E91" s="135">
        <v>7.5</v>
      </c>
      <c r="F91" s="73"/>
      <c r="G91" s="29"/>
      <c r="H91" s="67"/>
      <c r="I91" s="23"/>
      <c r="J91" s="74"/>
      <c r="K91" s="30"/>
      <c r="L91" s="102"/>
      <c r="M91" s="26"/>
      <c r="N91" s="21">
        <v>0.12850389173216559</v>
      </c>
      <c r="O91" s="29">
        <v>9.99</v>
      </c>
      <c r="P91" s="82">
        <f>(N91-0.01*O91)/O91</f>
        <v>2.8632524256422005E-3</v>
      </c>
      <c r="Q91" s="27">
        <f t="shared" ref="Q91:Q93" si="48" xml:space="preserve"> LOG(P91*1000)</f>
        <v>0.45685963730939833</v>
      </c>
      <c r="R91" s="74"/>
      <c r="S91" s="30"/>
      <c r="T91" s="28"/>
      <c r="U91" s="31"/>
      <c r="V91" s="73"/>
      <c r="W91" s="29"/>
      <c r="X91" s="67"/>
      <c r="Y91" s="23"/>
      <c r="Z91" s="74">
        <v>9.8919534564116007E-2</v>
      </c>
      <c r="AA91" s="30">
        <v>1.45</v>
      </c>
      <c r="AB91" s="68">
        <f>(Z91-0.01*AA91)/AA91</f>
        <v>5.8220368664907596E-2</v>
      </c>
      <c r="AC91" s="26">
        <f t="shared" ref="AC91" si="49" xml:space="preserve"> LOG(AB91*1000)</f>
        <v>1.7650749511651094</v>
      </c>
      <c r="AD91" s="73"/>
      <c r="AE91" s="29"/>
      <c r="AF91" s="73"/>
      <c r="AG91" s="23"/>
      <c r="AH91" s="74"/>
      <c r="AI91" s="30"/>
      <c r="AJ91" s="74"/>
      <c r="AK91" s="26"/>
      <c r="AL91" s="73"/>
      <c r="AM91" s="29"/>
      <c r="AN91" s="73"/>
      <c r="AO91" s="23"/>
      <c r="AP91" s="74">
        <v>0.76129287117244626</v>
      </c>
      <c r="AQ91" s="30">
        <v>0.25</v>
      </c>
      <c r="AR91" s="68">
        <f>(AP91-0.01*AQ91)/AQ91</f>
        <v>3.0351714846897853</v>
      </c>
      <c r="AS91" s="26">
        <f t="shared" ref="AS91:AS93" si="50" xml:space="preserve"> LOG(AR91*1000)</f>
        <v>3.4821832333851086</v>
      </c>
      <c r="AT91" s="73">
        <v>0.46136283565054259</v>
      </c>
      <c r="AU91" s="29">
        <v>5.67</v>
      </c>
      <c r="AV91" s="67">
        <f>(AT91-0.01*AU91)/AU91</f>
        <v>7.1369106816674188E-2</v>
      </c>
      <c r="AW91" s="23">
        <f t="shared" si="47"/>
        <v>1.8535102616018631</v>
      </c>
      <c r="AX91" s="74"/>
      <c r="AY91" s="30"/>
      <c r="AZ91" s="74"/>
      <c r="BA91" s="26"/>
      <c r="BB91" s="73"/>
      <c r="BC91" s="29"/>
      <c r="BD91" s="73"/>
      <c r="BE91" s="23"/>
      <c r="BF91" s="74"/>
      <c r="BG91" s="30"/>
      <c r="BH91" s="74"/>
      <c r="BI91" s="26"/>
      <c r="BJ91" s="75"/>
      <c r="BK91" s="66">
        <v>10</v>
      </c>
      <c r="BL91" s="46"/>
      <c r="BM91"/>
      <c r="BN91"/>
      <c r="BO91"/>
      <c r="BP91"/>
      <c r="BQ91"/>
      <c r="BR91"/>
      <c r="BS91"/>
      <c r="BT91"/>
      <c r="BU91"/>
      <c r="BV91"/>
      <c r="BW91"/>
      <c r="BX91"/>
      <c r="BY91"/>
      <c r="BZ91"/>
      <c r="CA91"/>
      <c r="CB91"/>
      <c r="CC91"/>
      <c r="CD91"/>
      <c r="CE91"/>
      <c r="CF91"/>
      <c r="CG91"/>
      <c r="CH91"/>
      <c r="CI91"/>
      <c r="CJ91"/>
      <c r="CK91"/>
      <c r="CL91"/>
      <c r="CM91"/>
      <c r="CN91"/>
      <c r="CO91"/>
      <c r="CP91"/>
      <c r="CQ91"/>
      <c r="CR91"/>
      <c r="CS91"/>
      <c r="CT91"/>
      <c r="CU91"/>
      <c r="CV91"/>
      <c r="CW91"/>
      <c r="CX91"/>
      <c r="CY91"/>
    </row>
    <row r="92" spans="1:103" s="8" customFormat="1" x14ac:dyDescent="0.35">
      <c r="A92" s="43" t="s">
        <v>51</v>
      </c>
      <c r="B92" s="55" t="s">
        <v>200</v>
      </c>
      <c r="C92" s="59">
        <v>16.04916700132755</v>
      </c>
      <c r="D92" s="44">
        <v>6.52</v>
      </c>
      <c r="E92" s="135">
        <v>6.7</v>
      </c>
      <c r="F92" s="73">
        <v>2.3774234495879014</v>
      </c>
      <c r="G92" s="29">
        <v>31.4</v>
      </c>
      <c r="H92" s="67">
        <f>(F92-0.01*G92)/G92</f>
        <v>6.5714122598340807E-2</v>
      </c>
      <c r="I92" s="23">
        <f t="shared" ref="I92:I93" si="51" xml:space="preserve"> LOG(H92*1000)</f>
        <v>1.8176587136605804</v>
      </c>
      <c r="J92" s="74"/>
      <c r="K92" s="30"/>
      <c r="L92" s="102"/>
      <c r="M92" s="26"/>
      <c r="N92" s="73">
        <v>0.44078894745459829</v>
      </c>
      <c r="O92" s="29">
        <v>2.42</v>
      </c>
      <c r="P92" s="82">
        <f>(N92-0.01*O92)/O92</f>
        <v>0.17214419316305715</v>
      </c>
      <c r="Q92" s="27">
        <f t="shared" si="48"/>
        <v>2.2358923774921844</v>
      </c>
      <c r="R92" s="74"/>
      <c r="S92" s="30"/>
      <c r="T92" s="28"/>
      <c r="U92" s="31"/>
      <c r="V92" s="73"/>
      <c r="W92" s="29"/>
      <c r="X92" s="67"/>
      <c r="Y92" s="23"/>
      <c r="Z92" s="74"/>
      <c r="AA92" s="30"/>
      <c r="AB92" s="68"/>
      <c r="AC92" s="26"/>
      <c r="AD92" s="73">
        <v>1.5523625184981382</v>
      </c>
      <c r="AE92" s="29">
        <v>14.54</v>
      </c>
      <c r="AF92" s="67">
        <f>(AD92-0.01*AE92)/AE92</f>
        <v>9.6764960006749542E-2</v>
      </c>
      <c r="AG92" s="23">
        <f t="shared" ref="AG92" si="52" xml:space="preserve"> LOG(AF92*1000)</f>
        <v>1.9857181214545461</v>
      </c>
      <c r="AH92" s="74"/>
      <c r="AI92" s="30"/>
      <c r="AJ92" s="74"/>
      <c r="AK92" s="26"/>
      <c r="AL92" s="73"/>
      <c r="AM92" s="29"/>
      <c r="AN92" s="73"/>
      <c r="AO92" s="23"/>
      <c r="AP92" s="74"/>
      <c r="AQ92" s="30"/>
      <c r="AR92" s="74"/>
      <c r="AS92" s="26"/>
      <c r="AT92" s="73">
        <v>3.7328134539887143</v>
      </c>
      <c r="AU92" s="29">
        <v>2.0699999999999998</v>
      </c>
      <c r="AV92" s="67">
        <f>(AT92-0.01*AU92)/AU92</f>
        <v>1.7932915236660456</v>
      </c>
      <c r="AW92" s="23">
        <f t="shared" si="47"/>
        <v>3.253650895712827</v>
      </c>
      <c r="AX92" s="74"/>
      <c r="AY92" s="30"/>
      <c r="AZ92" s="74"/>
      <c r="BA92" s="26"/>
      <c r="BB92" s="73"/>
      <c r="BC92" s="29"/>
      <c r="BD92" s="73"/>
      <c r="BE92" s="23"/>
      <c r="BF92" s="74"/>
      <c r="BG92" s="30"/>
      <c r="BH92" s="74"/>
      <c r="BI92" s="26"/>
      <c r="BJ92" s="75"/>
      <c r="BK92" s="66">
        <v>10</v>
      </c>
      <c r="BL92" s="46"/>
      <c r="BM92"/>
      <c r="BN92"/>
      <c r="BO92"/>
      <c r="BP92"/>
      <c r="BQ92"/>
      <c r="BR92"/>
      <c r="BS92"/>
      <c r="BT92"/>
      <c r="BU92"/>
      <c r="BV92"/>
      <c r="BW92"/>
      <c r="BX92"/>
      <c r="BY92"/>
      <c r="BZ92"/>
      <c r="CA92"/>
      <c r="CB92"/>
      <c r="CC92"/>
      <c r="CD92"/>
      <c r="CE92"/>
      <c r="CF92"/>
      <c r="CG92"/>
      <c r="CH92"/>
      <c r="CI92"/>
      <c r="CJ92"/>
      <c r="CK92"/>
      <c r="CL92"/>
      <c r="CM92"/>
      <c r="CN92"/>
      <c r="CO92"/>
      <c r="CP92"/>
      <c r="CQ92"/>
      <c r="CR92"/>
      <c r="CS92"/>
      <c r="CT92"/>
      <c r="CU92"/>
      <c r="CV92"/>
      <c r="CW92"/>
      <c r="CX92"/>
      <c r="CY92"/>
    </row>
    <row r="93" spans="1:103" s="8" customFormat="1" x14ac:dyDescent="0.35">
      <c r="A93" s="43" t="s">
        <v>55</v>
      </c>
      <c r="B93" s="55" t="s">
        <v>201</v>
      </c>
      <c r="C93" s="59">
        <v>16.796129447564226</v>
      </c>
      <c r="D93" s="44">
        <v>5.15</v>
      </c>
      <c r="E93" s="135">
        <v>7.3</v>
      </c>
      <c r="F93" s="73">
        <v>4.1760621517943237</v>
      </c>
      <c r="G93" s="29">
        <v>38.471295412835971</v>
      </c>
      <c r="H93" s="67">
        <f>(F93-0.01*G93)/G93</f>
        <v>9.8550078882994357E-2</v>
      </c>
      <c r="I93" s="23">
        <f t="shared" si="51"/>
        <v>1.9936569762403777</v>
      </c>
      <c r="J93" s="74"/>
      <c r="K93" s="30"/>
      <c r="L93" s="102"/>
      <c r="M93" s="26"/>
      <c r="N93" s="73">
        <v>0.70820883734534024</v>
      </c>
      <c r="O93" s="29">
        <v>3.3714478177347105</v>
      </c>
      <c r="P93" s="82">
        <f>(N93-0.01*O93)/O93</f>
        <v>0.20006074411710417</v>
      </c>
      <c r="Q93" s="27">
        <f t="shared" si="48"/>
        <v>2.3011618798113616</v>
      </c>
      <c r="R93" s="74"/>
      <c r="S93" s="30"/>
      <c r="T93" s="28"/>
      <c r="U93" s="31"/>
      <c r="V93" s="73"/>
      <c r="W93" s="29"/>
      <c r="X93" s="67"/>
      <c r="Y93" s="23"/>
      <c r="Z93" s="74"/>
      <c r="AA93" s="30"/>
      <c r="AB93" s="68"/>
      <c r="AC93" s="26"/>
      <c r="AD93" s="73"/>
      <c r="AE93" s="29"/>
      <c r="AF93" s="73"/>
      <c r="AG93" s="23"/>
      <c r="AH93" s="74"/>
      <c r="AI93" s="30"/>
      <c r="AJ93" s="74"/>
      <c r="AK93" s="26"/>
      <c r="AL93" s="73"/>
      <c r="AM93" s="29"/>
      <c r="AN93" s="73"/>
      <c r="AO93" s="23"/>
      <c r="AP93" s="74">
        <v>0.88422074660188077</v>
      </c>
      <c r="AQ93" s="30">
        <v>0.98064767801455976</v>
      </c>
      <c r="AR93" s="68">
        <f>(AP93-0.01*AQ93)/AQ93</f>
        <v>0.89167015782068948</v>
      </c>
      <c r="AS93" s="26">
        <f t="shared" si="50"/>
        <v>2.9502042320330535</v>
      </c>
      <c r="AT93" s="73"/>
      <c r="AU93" s="29"/>
      <c r="AV93" s="67"/>
      <c r="AW93" s="23"/>
      <c r="AX93" s="74"/>
      <c r="AY93" s="30"/>
      <c r="AZ93" s="74"/>
      <c r="BA93" s="26"/>
      <c r="BB93" s="73"/>
      <c r="BC93" s="29"/>
      <c r="BD93" s="73"/>
      <c r="BE93" s="23"/>
      <c r="BF93" s="74"/>
      <c r="BG93" s="30"/>
      <c r="BH93" s="74"/>
      <c r="BI93" s="26"/>
      <c r="BJ93" s="75"/>
      <c r="BK93" s="66">
        <v>10</v>
      </c>
      <c r="BL93" s="46"/>
      <c r="BM93"/>
      <c r="BN93"/>
      <c r="BO93"/>
      <c r="BP93"/>
      <c r="BQ93"/>
      <c r="BR93"/>
      <c r="BS93"/>
      <c r="BT93"/>
      <c r="BU93"/>
      <c r="BV93"/>
      <c r="BW93"/>
      <c r="BX93"/>
      <c r="BY93"/>
      <c r="BZ93"/>
      <c r="CA93"/>
      <c r="CB93"/>
      <c r="CC93"/>
      <c r="CD93"/>
      <c r="CE93"/>
      <c r="CF93"/>
      <c r="CG93"/>
      <c r="CH93"/>
      <c r="CI93"/>
      <c r="CJ93"/>
      <c r="CK93"/>
      <c r="CL93"/>
      <c r="CM93"/>
      <c r="CN93"/>
      <c r="CO93"/>
      <c r="CP93"/>
      <c r="CQ93"/>
      <c r="CR93"/>
      <c r="CS93"/>
      <c r="CT93"/>
      <c r="CU93"/>
      <c r="CV93"/>
      <c r="CW93"/>
      <c r="CX93"/>
      <c r="CY93"/>
    </row>
    <row r="94" spans="1:103" s="8" customFormat="1" x14ac:dyDescent="0.35">
      <c r="A94" s="43" t="s">
        <v>44</v>
      </c>
      <c r="B94" s="55" t="s">
        <v>202</v>
      </c>
      <c r="C94" s="59">
        <v>46.742904815274613</v>
      </c>
      <c r="D94" s="44">
        <v>4.08</v>
      </c>
      <c r="E94" s="135">
        <v>7.2</v>
      </c>
      <c r="F94" s="73"/>
      <c r="G94" s="29"/>
      <c r="H94" s="67"/>
      <c r="I94" s="23"/>
      <c r="J94" s="74"/>
      <c r="K94" s="30"/>
      <c r="L94" s="102"/>
      <c r="M94" s="26"/>
      <c r="N94" s="73">
        <v>0.14734155735253635</v>
      </c>
      <c r="O94" s="29">
        <v>7.39</v>
      </c>
      <c r="P94" s="82">
        <f t="shared" ref="P94" si="53">(N94-0.01*O94)/O94</f>
        <v>9.937964459071226E-3</v>
      </c>
      <c r="Q94" s="27">
        <f t="shared" ref="Q94" si="54" xml:space="preserve"> LOG(P94*1000)</f>
        <v>0.99729743925426662</v>
      </c>
      <c r="R94" s="74"/>
      <c r="S94" s="30"/>
      <c r="T94" s="28"/>
      <c r="U94" s="31"/>
      <c r="V94" s="73">
        <v>1.6020912217168499</v>
      </c>
      <c r="W94" s="29">
        <v>3.88</v>
      </c>
      <c r="X94" s="67">
        <f>(V94-0.01*W94)/W94</f>
        <v>0.40291010868990978</v>
      </c>
      <c r="Y94" s="23">
        <f t="shared" ref="Y94" si="55" xml:space="preserve"> LOG(X94*1000)</f>
        <v>2.6052081636236073</v>
      </c>
      <c r="Z94" s="74"/>
      <c r="AA94" s="30"/>
      <c r="AB94" s="68"/>
      <c r="AC94" s="26"/>
      <c r="AD94" s="73"/>
      <c r="AE94" s="29"/>
      <c r="AF94" s="73"/>
      <c r="AG94" s="23"/>
      <c r="AH94" s="74"/>
      <c r="AI94" s="30"/>
      <c r="AJ94" s="74"/>
      <c r="AK94" s="26"/>
      <c r="AL94" s="73"/>
      <c r="AM94" s="29"/>
      <c r="AN94" s="73"/>
      <c r="AO94" s="23"/>
      <c r="AP94" s="74">
        <v>23.71582799044905</v>
      </c>
      <c r="AQ94" s="30">
        <v>0.27</v>
      </c>
      <c r="AR94" s="68">
        <f>(AP94-0.01*AQ94)/AQ94</f>
        <v>87.826399964626106</v>
      </c>
      <c r="AS94" s="26">
        <f t="shared" ref="AS94" si="56" xml:space="preserve"> LOG(AR94*1000)</f>
        <v>4.9436250812316826</v>
      </c>
      <c r="AT94" s="73">
        <v>10.468461396821226</v>
      </c>
      <c r="AU94" s="29">
        <v>4.0999999999999996</v>
      </c>
      <c r="AV94" s="67">
        <f>(AT94-0.01*AU94)/AU94</f>
        <v>2.5432832675173724</v>
      </c>
      <c r="AW94" s="23">
        <f xml:space="preserve"> LOG(AV94*1000)</f>
        <v>3.4053947340130883</v>
      </c>
      <c r="AX94" s="74"/>
      <c r="AY94" s="30"/>
      <c r="AZ94" s="74"/>
      <c r="BA94" s="26"/>
      <c r="BB94" s="73"/>
      <c r="BC94" s="29"/>
      <c r="BD94" s="73"/>
      <c r="BE94" s="23"/>
      <c r="BF94" s="74"/>
      <c r="BG94" s="30"/>
      <c r="BH94" s="74"/>
      <c r="BI94" s="26"/>
      <c r="BJ94" s="75"/>
      <c r="BK94" s="66">
        <v>10</v>
      </c>
      <c r="BL94" s="46"/>
      <c r="BM94"/>
      <c r="BN94"/>
      <c r="BO94"/>
      <c r="BP94"/>
      <c r="BQ94"/>
      <c r="BR94"/>
      <c r="BS94"/>
      <c r="BT94"/>
      <c r="BU94"/>
      <c r="BV94"/>
      <c r="BW94"/>
      <c r="BX94"/>
      <c r="BY94"/>
      <c r="BZ94"/>
      <c r="CA94"/>
      <c r="CB94"/>
      <c r="CC94"/>
      <c r="CD94"/>
      <c r="CE94"/>
      <c r="CF94"/>
      <c r="CG94"/>
      <c r="CH94"/>
      <c r="CI94"/>
      <c r="CJ94"/>
      <c r="CK94"/>
      <c r="CL94"/>
      <c r="CM94"/>
      <c r="CN94"/>
      <c r="CO94"/>
      <c r="CP94"/>
      <c r="CQ94"/>
      <c r="CR94"/>
      <c r="CS94"/>
      <c r="CT94"/>
      <c r="CU94"/>
      <c r="CV94"/>
      <c r="CW94"/>
      <c r="CX94"/>
      <c r="CY94"/>
    </row>
    <row r="95" spans="1:103" x14ac:dyDescent="0.35">
      <c r="F95" s="46"/>
      <c r="G95" s="93"/>
      <c r="H95" s="32"/>
      <c r="I95" s="32"/>
      <c r="J95" s="46"/>
      <c r="K95" s="93"/>
      <c r="L95" s="85"/>
      <c r="M95" s="85"/>
      <c r="N95" s="46"/>
      <c r="O95" s="93"/>
      <c r="P95" s="94"/>
      <c r="Q95" s="76"/>
      <c r="R95" s="46"/>
      <c r="S95" s="93"/>
      <c r="T95" s="94"/>
      <c r="U95" s="76"/>
      <c r="V95" s="46"/>
      <c r="W95" s="93"/>
      <c r="X95" s="46"/>
      <c r="Y95" s="85"/>
      <c r="Z95" s="46"/>
      <c r="AA95" s="93"/>
      <c r="AB95" s="46"/>
      <c r="AC95" s="85"/>
      <c r="AD95" s="46"/>
      <c r="AE95" s="93"/>
      <c r="AF95" s="46"/>
      <c r="AG95" s="85"/>
      <c r="AH95" s="46"/>
      <c r="AI95" s="93"/>
      <c r="AJ95" s="46"/>
      <c r="AK95" s="85"/>
      <c r="AL95" s="46"/>
      <c r="AM95" s="93"/>
      <c r="AN95" s="46"/>
      <c r="AO95" s="85"/>
      <c r="AP95" s="46"/>
      <c r="AQ95" s="93"/>
      <c r="AR95" s="46"/>
      <c r="AS95" s="85"/>
      <c r="AT95" s="46"/>
      <c r="AU95" s="93"/>
      <c r="AV95" s="46"/>
      <c r="AW95" s="85"/>
      <c r="AX95" s="46"/>
      <c r="AY95" s="93"/>
      <c r="AZ95" s="46"/>
      <c r="BA95" s="85"/>
      <c r="BB95" s="46"/>
      <c r="BC95" s="93"/>
      <c r="BD95" s="46"/>
      <c r="BE95" s="85"/>
      <c r="BF95" s="46"/>
      <c r="BG95" s="93"/>
      <c r="BH95" s="46"/>
      <c r="BI95" s="85"/>
      <c r="BJ95" s="63"/>
      <c r="BK95" s="66"/>
      <c r="BL95" s="46"/>
    </row>
    <row r="96" spans="1:103" s="3" customFormat="1" ht="12" x14ac:dyDescent="0.3">
      <c r="A96" s="47"/>
      <c r="B96" s="47"/>
      <c r="C96" s="11"/>
      <c r="D96" s="41"/>
      <c r="E96" s="134"/>
      <c r="F96" s="23" t="s">
        <v>1</v>
      </c>
      <c r="G96" s="71"/>
      <c r="H96" s="23" t="s">
        <v>111</v>
      </c>
      <c r="I96" s="23"/>
      <c r="J96" s="26" t="s">
        <v>2</v>
      </c>
      <c r="K96" s="72"/>
      <c r="L96" s="26" t="s">
        <v>111</v>
      </c>
      <c r="M96" s="26"/>
      <c r="N96" s="23" t="s">
        <v>3</v>
      </c>
      <c r="O96" s="71"/>
      <c r="P96" s="27" t="s">
        <v>111</v>
      </c>
      <c r="Q96" s="27"/>
      <c r="R96" s="26" t="s">
        <v>4</v>
      </c>
      <c r="S96" s="72"/>
      <c r="T96" s="31" t="s">
        <v>111</v>
      </c>
      <c r="U96" s="31"/>
      <c r="V96" s="23" t="s">
        <v>5</v>
      </c>
      <c r="W96" s="71"/>
      <c r="X96" s="23" t="s">
        <v>111</v>
      </c>
      <c r="Y96" s="23"/>
      <c r="Z96" s="26" t="s">
        <v>6</v>
      </c>
      <c r="AA96" s="72"/>
      <c r="AB96" s="26" t="s">
        <v>111</v>
      </c>
      <c r="AC96" s="26"/>
      <c r="AD96" s="23" t="s">
        <v>7</v>
      </c>
      <c r="AE96" s="71"/>
      <c r="AF96" s="23" t="s">
        <v>111</v>
      </c>
      <c r="AG96" s="23"/>
      <c r="AH96" s="26" t="s">
        <v>8</v>
      </c>
      <c r="AI96" s="72"/>
      <c r="AJ96" s="26" t="s">
        <v>111</v>
      </c>
      <c r="AK96" s="26"/>
      <c r="AL96" s="23" t="s">
        <v>9</v>
      </c>
      <c r="AM96" s="71"/>
      <c r="AN96" s="23" t="s">
        <v>111</v>
      </c>
      <c r="AO96" s="23"/>
      <c r="AP96" s="26" t="s">
        <v>10</v>
      </c>
      <c r="AQ96" s="72"/>
      <c r="AR96" s="26" t="s">
        <v>111</v>
      </c>
      <c r="AS96" s="26"/>
      <c r="AT96" s="23" t="s">
        <v>12</v>
      </c>
      <c r="AU96" s="71"/>
      <c r="AV96" s="23"/>
      <c r="AW96" s="23"/>
      <c r="AX96" s="26" t="s">
        <v>13</v>
      </c>
      <c r="AY96" s="72"/>
      <c r="AZ96" s="26" t="s">
        <v>111</v>
      </c>
      <c r="BA96" s="26"/>
      <c r="BB96" s="23" t="s">
        <v>14</v>
      </c>
      <c r="BC96" s="71"/>
      <c r="BD96" s="23" t="s">
        <v>111</v>
      </c>
      <c r="BE96" s="23"/>
      <c r="BF96" s="26" t="s">
        <v>15</v>
      </c>
      <c r="BG96" s="72"/>
      <c r="BH96" s="26" t="s">
        <v>111</v>
      </c>
      <c r="BI96" s="26"/>
      <c r="BJ96" s="69"/>
      <c r="BK96" s="33"/>
      <c r="BL96" s="32"/>
    </row>
    <row r="97" spans="1:64" s="63" customFormat="1" ht="12" x14ac:dyDescent="0.3">
      <c r="A97" s="46"/>
      <c r="B97" s="46"/>
      <c r="E97" s="136" t="s">
        <v>254</v>
      </c>
      <c r="F97" s="46"/>
      <c r="G97" s="93"/>
      <c r="H97" s="32"/>
      <c r="I97" s="85">
        <f>COUNT(I11:I94)</f>
        <v>13</v>
      </c>
      <c r="J97" s="46"/>
      <c r="K97" s="93"/>
      <c r="L97" s="85"/>
      <c r="M97" s="85">
        <f>COUNT(M11:M94)</f>
        <v>5</v>
      </c>
      <c r="N97" s="46"/>
      <c r="O97" s="93"/>
      <c r="P97" s="94"/>
      <c r="Q97" s="33">
        <f>COUNT(Q11:Q94)</f>
        <v>43</v>
      </c>
      <c r="R97" s="46"/>
      <c r="S97" s="93"/>
      <c r="T97" s="94"/>
      <c r="U97" s="33">
        <f>COUNT(U11:U94)</f>
        <v>9</v>
      </c>
      <c r="V97" s="46"/>
      <c r="W97" s="93"/>
      <c r="X97" s="46"/>
      <c r="Y97" s="85">
        <f>COUNT(Y11:Y94)</f>
        <v>50</v>
      </c>
      <c r="Z97" s="46"/>
      <c r="AA97" s="93"/>
      <c r="AB97" s="46"/>
      <c r="AC97" s="85">
        <f>COUNT(AC11:AC94)</f>
        <v>50</v>
      </c>
      <c r="AD97" s="46"/>
      <c r="AE97" s="93"/>
      <c r="AF97" s="46"/>
      <c r="AG97" s="85">
        <f>COUNT(AG11:AG94)</f>
        <v>7</v>
      </c>
      <c r="AH97" s="46"/>
      <c r="AI97" s="93"/>
      <c r="AJ97" s="46"/>
      <c r="AK97" s="85">
        <f>COUNT(AK11:AK94)</f>
        <v>3</v>
      </c>
      <c r="AL97" s="46"/>
      <c r="AM97" s="93"/>
      <c r="AN97" s="46"/>
      <c r="AO97" s="85">
        <f>COUNT(AO11:AO94)</f>
        <v>26</v>
      </c>
      <c r="AP97" s="46"/>
      <c r="AQ97" s="93"/>
      <c r="AR97" s="46"/>
      <c r="AS97" s="85">
        <f>COUNT(AS11:AS94)</f>
        <v>37</v>
      </c>
      <c r="AT97" s="46"/>
      <c r="AU97" s="93"/>
      <c r="AV97" s="46"/>
      <c r="AW97" s="85">
        <f>COUNT(AW11:AW94)</f>
        <v>70</v>
      </c>
      <c r="AX97" s="46"/>
      <c r="AY97" s="93"/>
      <c r="AZ97" s="46"/>
      <c r="BA97" s="85">
        <f>COUNT(BA11:BA94)</f>
        <v>9</v>
      </c>
      <c r="BB97" s="46"/>
      <c r="BC97" s="93"/>
      <c r="BD97" s="46"/>
      <c r="BE97" s="85">
        <f>COUNT(BE11:BE94)</f>
        <v>18</v>
      </c>
      <c r="BF97" s="46"/>
      <c r="BG97" s="93"/>
      <c r="BH97" s="46"/>
      <c r="BI97" s="85">
        <f>COUNT(BI11:BI94)</f>
        <v>22</v>
      </c>
      <c r="BK97" s="66"/>
      <c r="BL97" s="46"/>
    </row>
    <row r="98" spans="1:64" s="12" customFormat="1" x14ac:dyDescent="0.35">
      <c r="A98" s="46"/>
      <c r="B98" s="46"/>
      <c r="D98"/>
      <c r="E98" s="136" t="s">
        <v>252</v>
      </c>
      <c r="F98" s="85"/>
      <c r="G98" s="95"/>
      <c r="H98" s="32">
        <f>AVERAGE(H24:H94)</f>
        <v>0.21178225822718841</v>
      </c>
      <c r="I98" s="32">
        <f>AVERAGE(I9:I94)</f>
        <v>2.1657530326703798</v>
      </c>
      <c r="J98" s="85"/>
      <c r="K98" s="95"/>
      <c r="L98" s="32">
        <f>AVERAGE(L44:L87)</f>
        <v>0.3079596593743536</v>
      </c>
      <c r="M98" s="32">
        <f>AVERAGE(M9:M94)</f>
        <v>2.1646661702483594</v>
      </c>
      <c r="N98" s="85"/>
      <c r="O98" s="95"/>
      <c r="P98" s="76">
        <f>AVERAGE(P44:P94)</f>
        <v>4.1521775918955534E-2</v>
      </c>
      <c r="Q98" s="76">
        <f>AVERAGE(Q9:Q94)</f>
        <v>1.240694109717553</v>
      </c>
      <c r="R98" s="85"/>
      <c r="S98" s="95"/>
      <c r="T98" s="76">
        <f>AVERAGE(T25:T94)</f>
        <v>0.77736564024927457</v>
      </c>
      <c r="U98" s="76">
        <f>AVERAGE(U9:U94)</f>
        <v>2.5963435504242378</v>
      </c>
      <c r="V98" s="85"/>
      <c r="W98" s="95"/>
      <c r="X98" s="32">
        <f>AVERAGE(X24:X94)</f>
        <v>9.1589485299606269E-2</v>
      </c>
      <c r="Y98" s="32">
        <f>AVERAGE(Y9:Y94)</f>
        <v>1.4143989029053916</v>
      </c>
      <c r="Z98" s="85"/>
      <c r="AA98" s="95"/>
      <c r="AB98" s="32">
        <f>AVERAGE(AB24:AB94)</f>
        <v>9.7504103172688081E-2</v>
      </c>
      <c r="AC98" s="32">
        <f>AVERAGE(AC9:AC94)</f>
        <v>1.4768416403972193</v>
      </c>
      <c r="AD98" s="85"/>
      <c r="AE98" s="95"/>
      <c r="AF98" s="96">
        <f>AVERAGE(AF45:AF85)</f>
        <v>0.22036375007172046</v>
      </c>
      <c r="AG98" s="96">
        <f>AVERAGE(AG9:AG94)</f>
        <v>2.1211393146084996</v>
      </c>
      <c r="AH98" s="85"/>
      <c r="AI98" s="95"/>
      <c r="AJ98" s="32">
        <f>AVERAGE(AJ27:AJ88)</f>
        <v>0.110564606669957</v>
      </c>
      <c r="AK98" s="32">
        <f>AVERAGE(AK9:AK94)</f>
        <v>2.0285797786560456</v>
      </c>
      <c r="AL98" s="85"/>
      <c r="AM98" s="95"/>
      <c r="AN98" s="32">
        <f>AVERAGE(AN24:AN94)</f>
        <v>0.17813367270750807</v>
      </c>
      <c r="AO98" s="32">
        <f>AVERAGE(AO9:AO94)</f>
        <v>1.9132762396818364</v>
      </c>
      <c r="AP98" s="85"/>
      <c r="AQ98" s="95"/>
      <c r="AR98" s="32">
        <f>AVERAGE(AR25:AR94)</f>
        <v>3.632513501909</v>
      </c>
      <c r="AS98" s="32">
        <f>AVERAGE(AS9:AS94)</f>
        <v>2.5560785054790061</v>
      </c>
      <c r="AT98" s="85"/>
      <c r="AU98" s="95"/>
      <c r="AV98" s="32">
        <f>AVERAGE(AV24:AV94)</f>
        <v>0.20752620371952527</v>
      </c>
      <c r="AW98" s="32">
        <f>AVERAGE(AW9:AW94)</f>
        <v>1.8822500950061458</v>
      </c>
      <c r="AX98" s="85"/>
      <c r="AY98" s="95"/>
      <c r="AZ98" s="32">
        <f>AVERAGE(AZ11:AZ80)</f>
        <v>0.22372158119295449</v>
      </c>
      <c r="BA98" s="32">
        <f>AVERAGE(BA9:BA94)</f>
        <v>2.1612754097318367</v>
      </c>
      <c r="BB98" s="85"/>
      <c r="BC98" s="95"/>
      <c r="BD98" s="32">
        <f>AVERAGE(BD24:BD94)</f>
        <v>1.3533152947196578</v>
      </c>
      <c r="BE98" s="32">
        <f>AVERAGE(BE9:BE94)</f>
        <v>2.4909989050114474</v>
      </c>
      <c r="BF98" s="85"/>
      <c r="BG98" s="95"/>
      <c r="BH98" s="32">
        <f>AVERAGE(BH11:BH87)</f>
        <v>0.68532700825208481</v>
      </c>
      <c r="BI98" s="32">
        <f>AVERAGE(BI9:BI94)</f>
        <v>2.5021992769087134</v>
      </c>
      <c r="BJ98" s="97"/>
      <c r="BK98" s="33"/>
      <c r="BL98" s="85"/>
    </row>
    <row r="99" spans="1:64" x14ac:dyDescent="0.35">
      <c r="E99" s="136" t="s">
        <v>114</v>
      </c>
      <c r="F99" s="46"/>
      <c r="G99" s="93"/>
      <c r="H99" s="47">
        <f>_xlfn.STDEV.S(H44:H88)</f>
        <v>0.31063427624955275</v>
      </c>
      <c r="I99" s="32">
        <f>_xlfn.STDEV.S(I10:I94)</f>
        <v>0.38357228491940648</v>
      </c>
      <c r="J99" s="47"/>
      <c r="K99" s="98"/>
      <c r="L99" s="47">
        <f>_xlfn.STDEV.S(L44:L88)</f>
        <v>0.38730764486880254</v>
      </c>
      <c r="M99" s="32">
        <f>_xlfn.STDEV.S(M10:M94)</f>
        <v>0.65813773127109676</v>
      </c>
      <c r="N99" s="47"/>
      <c r="O99" s="98"/>
      <c r="P99" s="47">
        <f>_xlfn.STDEV.S(P44:P88)</f>
        <v>5.2043570504504442E-2</v>
      </c>
      <c r="Q99" s="32">
        <f>_xlfn.STDEV.S(Q10:Q94)</f>
        <v>0.52659183511527841</v>
      </c>
      <c r="R99" s="47"/>
      <c r="S99" s="98"/>
      <c r="T99" s="47">
        <f>_xlfn.STDEV.S(T44:T88)</f>
        <v>0.64241752969738997</v>
      </c>
      <c r="U99" s="32">
        <f>_xlfn.STDEV.S(U10:U94)</f>
        <v>0.66098423436234899</v>
      </c>
      <c r="V99" s="47"/>
      <c r="W99" s="98"/>
      <c r="X99" s="47">
        <f>_xlfn.STDEV.S(X44:X88)</f>
        <v>2.2309344660518388E-2</v>
      </c>
      <c r="Y99" s="32">
        <f>_xlfn.STDEV.S(Y10:Y94)</f>
        <v>0.64966655474053536</v>
      </c>
      <c r="Z99" s="47"/>
      <c r="AA99" s="98"/>
      <c r="AB99" s="47">
        <f>_xlfn.STDEV.S(AB44:AB88)</f>
        <v>9.0102108079388538E-2</v>
      </c>
      <c r="AC99" s="32">
        <f>_xlfn.STDEV.S(AC10:AC94)</f>
        <v>0.63175029957898532</v>
      </c>
      <c r="AD99" s="47"/>
      <c r="AE99" s="98"/>
      <c r="AF99" s="47">
        <f>_xlfn.STDEV.S(AF44:AF88)</f>
        <v>0.24613515982521406</v>
      </c>
      <c r="AG99" s="32">
        <f>_xlfn.STDEV.S(AG10:AG94)</f>
        <v>0.41888694513799718</v>
      </c>
      <c r="AH99" s="47"/>
      <c r="AI99" s="98"/>
      <c r="AJ99" s="47">
        <f>_xlfn.STDEV.S(AJ44:AJ88)</f>
        <v>3.3211204944981566E-2</v>
      </c>
      <c r="AK99" s="32">
        <f>_xlfn.STDEV.S(AK10:AK94)</f>
        <v>0.14470001519440728</v>
      </c>
      <c r="AL99" s="47"/>
      <c r="AM99" s="98"/>
      <c r="AN99" s="47">
        <f>_xlfn.STDEV.S(AN44:AN88)</f>
        <v>0.15455674822255575</v>
      </c>
      <c r="AO99" s="32">
        <f>_xlfn.STDEV.S(AO10:AO94)</f>
        <v>0.51985094942490384</v>
      </c>
      <c r="AP99" s="47"/>
      <c r="AQ99" s="98"/>
      <c r="AR99" s="47">
        <f>_xlfn.STDEV.S(AR44:AR88)</f>
        <v>1.7559153063217865</v>
      </c>
      <c r="AS99" s="32">
        <f>_xlfn.STDEV.S(AS10:AS94)</f>
        <v>0.78846858313541823</v>
      </c>
      <c r="AT99" s="47"/>
      <c r="AU99" s="98"/>
      <c r="AV99" s="47">
        <f>_xlfn.STDEV.S(AV44:AV88)</f>
        <v>0.13257674820178086</v>
      </c>
      <c r="AW99" s="32">
        <f>_xlfn.STDEV.S(AW10:AW94)</f>
        <v>0.56578182331767213</v>
      </c>
      <c r="AX99" s="47"/>
      <c r="AY99" s="98"/>
      <c r="AZ99" s="47">
        <f>_xlfn.STDEV.S(AZ44:AZ88)</f>
        <v>0.24745440840190902</v>
      </c>
      <c r="BA99" s="32">
        <f>_xlfn.STDEV.S(BA10:BA94)</f>
        <v>0.4310196430143407</v>
      </c>
      <c r="BB99" s="47"/>
      <c r="BC99" s="98"/>
      <c r="BD99" s="47">
        <f>_xlfn.STDEV.S(BD44:BD88)</f>
        <v>4.842620251288559</v>
      </c>
      <c r="BE99" s="32">
        <f>_xlfn.STDEV.S(BE10:BE94)</f>
        <v>0.65695575084909574</v>
      </c>
      <c r="BF99" s="47"/>
      <c r="BG99" s="98"/>
      <c r="BH99" s="47">
        <f>_xlfn.STDEV.S(BH44:BH88)</f>
        <v>0.569874843392013</v>
      </c>
      <c r="BI99" s="32">
        <f>_xlfn.STDEV.S(BI10:BI94)</f>
        <v>0.76843265193581767</v>
      </c>
      <c r="BJ99" s="99"/>
      <c r="BK99" s="66"/>
      <c r="BL99" s="46"/>
    </row>
    <row r="100" spans="1:64" x14ac:dyDescent="0.35">
      <c r="E100" s="136" t="s">
        <v>115</v>
      </c>
      <c r="F100" s="46"/>
      <c r="G100" s="93"/>
      <c r="H100" s="32">
        <f>(H99*100)/H98</f>
        <v>146.67625081054774</v>
      </c>
      <c r="J100" s="32"/>
      <c r="K100" s="100"/>
      <c r="L100" s="32">
        <f>(L99*100)/L98</f>
        <v>125.76570764354369</v>
      </c>
      <c r="N100" s="32"/>
      <c r="O100" s="100"/>
      <c r="P100" s="32">
        <f t="shared" ref="P100" si="57">(P99*100)/P98</f>
        <v>125.34042524116965</v>
      </c>
      <c r="Q100" s="32"/>
      <c r="R100" s="32"/>
      <c r="S100" s="100"/>
      <c r="T100" s="32">
        <f t="shared" ref="T100" si="58">(T99*100)/T98</f>
        <v>82.640329908508519</v>
      </c>
      <c r="U100" s="32"/>
      <c r="V100" s="32"/>
      <c r="W100" s="100"/>
      <c r="X100" s="32">
        <f>(X99*100)/X98</f>
        <v>24.357975795518847</v>
      </c>
      <c r="Y100" s="32"/>
      <c r="Z100" s="32"/>
      <c r="AA100" s="100"/>
      <c r="AB100" s="32">
        <f t="shared" ref="AB100" si="59">(AB99*100)/AB98</f>
        <v>92.408529638809171</v>
      </c>
      <c r="AC100" s="32"/>
      <c r="AD100" s="32"/>
      <c r="AE100" s="100"/>
      <c r="AF100" s="32">
        <f t="shared" ref="AF100" si="60">(AF99*100)/AF98</f>
        <v>111.69494063570163</v>
      </c>
      <c r="AG100" s="32"/>
      <c r="AH100" s="32"/>
      <c r="AI100" s="100"/>
      <c r="AJ100" s="32">
        <f t="shared" ref="AJ100" si="61">(AJ99*100)/AJ98</f>
        <v>30.037826701739473</v>
      </c>
      <c r="AK100" s="32"/>
      <c r="AL100" s="32"/>
      <c r="AM100" s="100"/>
      <c r="AN100" s="32">
        <f t="shared" ref="AN100" si="62">(AN99*100)/AN98</f>
        <v>86.764476290978877</v>
      </c>
      <c r="AO100" s="32"/>
      <c r="AP100" s="32"/>
      <c r="AQ100" s="100"/>
      <c r="AR100" s="32">
        <f t="shared" ref="AR100" si="63">(AR99*100)/AR98</f>
        <v>48.338851470173417</v>
      </c>
      <c r="AS100" s="32"/>
      <c r="AT100" s="32"/>
      <c r="AU100" s="100"/>
      <c r="AV100" s="32">
        <f t="shared" ref="AV100" si="64">(AV99*100)/AV98</f>
        <v>63.884341266590269</v>
      </c>
      <c r="AW100" s="32"/>
      <c r="AX100" s="32"/>
      <c r="AY100" s="100"/>
      <c r="AZ100" s="32">
        <f t="shared" ref="AZ100:BH100" si="65">(AZ99*100)/AZ98</f>
        <v>110.60819751156932</v>
      </c>
      <c r="BA100" s="32"/>
      <c r="BB100" s="32"/>
      <c r="BC100" s="100"/>
      <c r="BD100" s="32">
        <f t="shared" si="65"/>
        <v>357.83385218384888</v>
      </c>
      <c r="BE100" s="32"/>
      <c r="BF100" s="32"/>
      <c r="BG100" s="100"/>
      <c r="BH100" s="32">
        <f t="shared" si="65"/>
        <v>83.15371151729002</v>
      </c>
      <c r="BI100" s="32"/>
      <c r="BJ100" s="69"/>
      <c r="BK100" s="66"/>
      <c r="BL100" s="46"/>
    </row>
    <row r="101" spans="1:64" x14ac:dyDescent="0.35">
      <c r="C101" s="156" t="s">
        <v>118</v>
      </c>
      <c r="D101" s="156"/>
      <c r="E101" s="156"/>
      <c r="F101" s="46"/>
      <c r="G101" s="93"/>
      <c r="H101" s="32"/>
      <c r="I101" s="32">
        <f>100*SQRT(EXP(I99^2)-1)</f>
        <v>39.812296050230891</v>
      </c>
      <c r="J101" s="32"/>
      <c r="K101" s="100"/>
      <c r="L101" s="32"/>
      <c r="M101" s="32">
        <f>100*SQRT(EXP(M99^2)-1)</f>
        <v>73.627456186756888</v>
      </c>
      <c r="N101" s="32"/>
      <c r="O101" s="100"/>
      <c r="P101" s="32"/>
      <c r="Q101" s="32">
        <f>100*SQRT(EXP(Q99^2)-1)</f>
        <v>56.529709802871288</v>
      </c>
      <c r="R101" s="32"/>
      <c r="S101" s="100"/>
      <c r="T101" s="32"/>
      <c r="U101" s="32">
        <f>100*SQRT(EXP(U99^2)-1)</f>
        <v>74.020370430988095</v>
      </c>
      <c r="V101" s="32"/>
      <c r="W101" s="100"/>
      <c r="X101" s="32"/>
      <c r="Y101" s="32">
        <f>100*SQRT(EXP(Y99^2)-1)</f>
        <v>72.464483919238702</v>
      </c>
      <c r="Z101" s="32"/>
      <c r="AA101" s="100"/>
      <c r="AB101" s="32"/>
      <c r="AC101" s="32">
        <f>100*SQRT(EXP(AC99^2)-1)</f>
        <v>70.035365399592294</v>
      </c>
      <c r="AD101" s="32"/>
      <c r="AE101" s="100"/>
      <c r="AF101" s="32"/>
      <c r="AG101" s="32">
        <f>100*SQRT(EXP(AG99^2)-1)</f>
        <v>43.795181452347435</v>
      </c>
      <c r="AH101" s="32"/>
      <c r="AI101" s="100"/>
      <c r="AJ101" s="32"/>
      <c r="AK101" s="32">
        <f>100*SQRT(EXP(AK99^2)-1)</f>
        <v>14.546076525190053</v>
      </c>
      <c r="AL101" s="32"/>
      <c r="AM101" s="100"/>
      <c r="AN101" s="32"/>
      <c r="AO101" s="32">
        <f>100*SQRT(EXP(AO99^2)-1)</f>
        <v>55.703271353169846</v>
      </c>
      <c r="AP101" s="32"/>
      <c r="AQ101" s="100"/>
      <c r="AR101" s="32"/>
      <c r="AS101" s="32">
        <f>100*SQRT(EXP(AS99^2)-1)</f>
        <v>92.8471165718761</v>
      </c>
      <c r="AT101" s="32"/>
      <c r="AU101" s="100"/>
      <c r="AV101" s="32"/>
      <c r="AW101" s="32">
        <f>100*SQRT(EXP(AW99^2)-1)</f>
        <v>61.422958089944437</v>
      </c>
      <c r="AX101" s="32"/>
      <c r="AY101" s="100"/>
      <c r="AZ101" s="32"/>
      <c r="BA101" s="32">
        <f>100*SQRT(EXP(BA99^2)-1)</f>
        <v>45.183495574189848</v>
      </c>
      <c r="BB101" s="32"/>
      <c r="BC101" s="100"/>
      <c r="BD101" s="32"/>
      <c r="BE101" s="32">
        <f>100*SQRT(EXP(BE99^2)-1)</f>
        <v>73.464619318489667</v>
      </c>
      <c r="BF101" s="32"/>
      <c r="BG101" s="100"/>
      <c r="BH101" s="32"/>
      <c r="BI101" s="32">
        <f>100*SQRT(EXP(BI99^2)-1)</f>
        <v>89.714564770738278</v>
      </c>
      <c r="BJ101" s="69"/>
      <c r="BK101" s="66"/>
      <c r="BL101" s="46"/>
    </row>
    <row r="102" spans="1:64" x14ac:dyDescent="0.35">
      <c r="E102" s="136" t="s">
        <v>253</v>
      </c>
      <c r="F102" s="46"/>
      <c r="G102" s="93"/>
      <c r="H102" s="32"/>
      <c r="I102" s="32">
        <f>MEDIAN(I11:I93)</f>
        <v>2.1090799916955554</v>
      </c>
      <c r="J102" s="32"/>
      <c r="K102" s="100"/>
      <c r="L102" s="32"/>
      <c r="M102" s="32">
        <f>MEDIAN(M11:M93)</f>
        <v>2.4192280524966936</v>
      </c>
      <c r="N102" s="32"/>
      <c r="O102" s="100"/>
      <c r="P102" s="32"/>
      <c r="Q102" s="32">
        <f>MEDIAN(Q11:Q93)</f>
        <v>1.1930315452451019</v>
      </c>
      <c r="R102" s="32"/>
      <c r="S102" s="100"/>
      <c r="T102" s="32"/>
      <c r="U102" s="32">
        <f>MEDIAN(U11:U93)</f>
        <v>2.535704339349822</v>
      </c>
      <c r="V102" s="32"/>
      <c r="W102" s="100"/>
      <c r="X102" s="32"/>
      <c r="Y102" s="32">
        <f>MEDIAN(Y11:Y93)</f>
        <v>1.2462130454068705</v>
      </c>
      <c r="Z102" s="32"/>
      <c r="AA102" s="100"/>
      <c r="AB102" s="32"/>
      <c r="AC102" s="32">
        <f>MEDIAN(AC11:AC93)</f>
        <v>1.4396868330759232</v>
      </c>
      <c r="AD102" s="32"/>
      <c r="AE102" s="100"/>
      <c r="AF102" s="32"/>
      <c r="AG102" s="32">
        <f>MEDIAN(AG11:AG93)</f>
        <v>2.1315293978162928</v>
      </c>
      <c r="AH102" s="32"/>
      <c r="AI102" s="100"/>
      <c r="AJ102" s="32"/>
      <c r="AK102" s="32">
        <f>MEDIAN(AK11:AK93)</f>
        <v>2.0877555627689355</v>
      </c>
      <c r="AL102" s="32"/>
      <c r="AM102" s="100"/>
      <c r="AN102" s="32"/>
      <c r="AO102" s="32">
        <f>MEDIAN(AO11:AO93)</f>
        <v>1.9796601844344059</v>
      </c>
      <c r="AP102" s="32"/>
      <c r="AQ102" s="100"/>
      <c r="AR102" s="32"/>
      <c r="AS102" s="32">
        <f>MEDIAN(AS11:AS93)</f>
        <v>2.5093076127465448</v>
      </c>
      <c r="AT102" s="32"/>
      <c r="AU102" s="100"/>
      <c r="AV102" s="32"/>
      <c r="AW102" s="32">
        <f>MEDIAN(AW11:AW93)</f>
        <v>1.8388488132255252</v>
      </c>
      <c r="AX102" s="32"/>
      <c r="AY102" s="100"/>
      <c r="AZ102" s="32"/>
      <c r="BA102" s="32">
        <f>MEDIAN(BA11:BA93)</f>
        <v>2.134401519490726</v>
      </c>
      <c r="BB102" s="32"/>
      <c r="BC102" s="100"/>
      <c r="BD102" s="32"/>
      <c r="BE102" s="32">
        <f>MEDIAN(BE11:BE93)</f>
        <v>2.3176506569821775</v>
      </c>
      <c r="BF102" s="32"/>
      <c r="BG102" s="100"/>
      <c r="BH102" s="32"/>
      <c r="BI102" s="32">
        <f>MEDIAN(BI11:BI93)</f>
        <v>2.8494856210299924</v>
      </c>
      <c r="BJ102" s="69"/>
      <c r="BK102" s="66"/>
      <c r="BL102" s="46"/>
    </row>
    <row r="103" spans="1:64" x14ac:dyDescent="0.35">
      <c r="F103" s="46"/>
      <c r="G103" s="93"/>
      <c r="H103" s="32"/>
      <c r="I103" s="32"/>
      <c r="J103" s="46"/>
      <c r="K103" s="93"/>
      <c r="L103" s="85"/>
      <c r="M103" s="85"/>
      <c r="N103" s="46"/>
      <c r="O103" s="93"/>
      <c r="P103" s="94"/>
      <c r="Q103" s="76"/>
      <c r="R103" s="46"/>
      <c r="S103" s="93"/>
      <c r="T103" s="94"/>
      <c r="U103" s="76"/>
      <c r="V103" s="46"/>
      <c r="W103" s="93"/>
      <c r="X103" s="46"/>
      <c r="Y103" s="85"/>
      <c r="Z103" s="46"/>
      <c r="AA103" s="93"/>
      <c r="AB103" s="46"/>
      <c r="AC103" s="85"/>
      <c r="AD103" s="46"/>
      <c r="AE103" s="93"/>
      <c r="AF103" s="46"/>
      <c r="AG103" s="85"/>
      <c r="AH103" s="46"/>
      <c r="AI103" s="93"/>
      <c r="AJ103" s="46"/>
      <c r="AK103" s="85"/>
      <c r="AL103" s="46"/>
      <c r="AM103" s="93"/>
      <c r="AN103" s="46"/>
      <c r="AO103" s="85"/>
      <c r="AP103" s="46"/>
      <c r="AQ103" s="93"/>
      <c r="AR103" s="46"/>
      <c r="AS103" s="85"/>
      <c r="AT103" s="46"/>
      <c r="AU103" s="93"/>
      <c r="AV103" s="46"/>
      <c r="AX103" s="46"/>
      <c r="AY103" s="93"/>
      <c r="AZ103" s="46"/>
      <c r="BA103" s="85"/>
      <c r="BB103" s="46"/>
      <c r="BC103" s="93"/>
      <c r="BD103" s="46"/>
      <c r="BE103" s="85"/>
      <c r="BF103" s="46"/>
      <c r="BG103" s="93"/>
      <c r="BH103" s="46"/>
      <c r="BI103" s="85"/>
      <c r="BJ103" s="63"/>
      <c r="BK103" s="66"/>
      <c r="BL103" s="46"/>
    </row>
    <row r="104" spans="1:64" s="146" customFormat="1" x14ac:dyDescent="0.35">
      <c r="A104" s="47"/>
      <c r="B104" s="47"/>
      <c r="E104" s="99" t="s">
        <v>257</v>
      </c>
      <c r="F104" s="13"/>
      <c r="G104" s="147"/>
      <c r="H104" s="9"/>
      <c r="I104" s="9">
        <f>MAX(I11:I94)</f>
        <v>3.0165998016550484</v>
      </c>
      <c r="J104" s="13"/>
      <c r="K104" s="147"/>
      <c r="L104" s="9"/>
      <c r="M104" s="9">
        <f>MAX(M11:M94)</f>
        <v>2.9319097119527999</v>
      </c>
      <c r="N104" s="13"/>
      <c r="O104" s="147"/>
      <c r="P104" s="13"/>
      <c r="Q104" s="9">
        <f>MAX(Q11:Q94)</f>
        <v>2.3965874972788197</v>
      </c>
      <c r="R104" s="13"/>
      <c r="S104" s="147"/>
      <c r="T104" s="13"/>
      <c r="U104" s="9">
        <f>MAX(U11:U94)</f>
        <v>3.2562841987272741</v>
      </c>
      <c r="V104" s="13"/>
      <c r="W104" s="147"/>
      <c r="X104" s="13"/>
      <c r="Y104" s="9">
        <f>MAX(Y11:Y94)</f>
        <v>2.9761835209962202</v>
      </c>
      <c r="Z104" s="13"/>
      <c r="AA104" s="147"/>
      <c r="AB104" s="13"/>
      <c r="AC104" s="9">
        <f>MAX(AC11:AC94)</f>
        <v>3.0623082215481379</v>
      </c>
      <c r="AD104" s="13"/>
      <c r="AE104" s="147"/>
      <c r="AF104" s="13"/>
      <c r="AG104" s="9">
        <f>MAX(AG11:AG94)</f>
        <v>2.8446729700554294</v>
      </c>
      <c r="AH104" s="13"/>
      <c r="AI104" s="147"/>
      <c r="AJ104" s="13"/>
      <c r="AK104" s="9">
        <f>MAX(AK11:AK94)</f>
        <v>2.1343128544066268</v>
      </c>
      <c r="AL104" s="13"/>
      <c r="AM104" s="147"/>
      <c r="AN104" s="13"/>
      <c r="AO104" s="9">
        <f>MAX(AO11:AO94)</f>
        <v>3.2056739726682681</v>
      </c>
      <c r="AP104" s="13"/>
      <c r="AQ104" s="147"/>
      <c r="AR104" s="13"/>
      <c r="AS104" s="148">
        <f>MAX(AS11:AS94)</f>
        <v>4.9436250812316826</v>
      </c>
      <c r="AT104" s="13"/>
      <c r="AU104" s="147"/>
      <c r="AV104" s="13"/>
      <c r="AW104" s="9">
        <f>MAX(AW11:AW94)</f>
        <v>3.4053947340130883</v>
      </c>
      <c r="AX104" s="13"/>
      <c r="AY104" s="147"/>
      <c r="AZ104" s="13"/>
      <c r="BA104" s="9">
        <f>MAX(BA11:BA94)</f>
        <v>2.8342358209942931</v>
      </c>
      <c r="BB104" s="13"/>
      <c r="BC104" s="147"/>
      <c r="BD104" s="13"/>
      <c r="BE104" s="9">
        <f>MAX(BE11:BE94)</f>
        <v>4.2129559249947555</v>
      </c>
      <c r="BF104" s="13"/>
      <c r="BG104" s="147"/>
      <c r="BH104" s="13"/>
      <c r="BI104" s="9">
        <f>MAX(BI11:BI94)</f>
        <v>3.292128038992999</v>
      </c>
      <c r="BK104" s="13"/>
      <c r="BL104" s="13"/>
    </row>
    <row r="105" spans="1:64" s="146" customFormat="1" x14ac:dyDescent="0.35">
      <c r="A105" s="47"/>
      <c r="B105" s="47"/>
      <c r="E105" s="99" t="s">
        <v>258</v>
      </c>
      <c r="F105" s="13"/>
      <c r="G105" s="147"/>
      <c r="H105" s="9"/>
      <c r="I105" s="9">
        <f>MIN(I11:I94)</f>
        <v>1.4914897758632095</v>
      </c>
      <c r="J105" s="13"/>
      <c r="K105" s="147"/>
      <c r="L105" s="9"/>
      <c r="M105" s="9">
        <f>MIN(M11:M94)</f>
        <v>1.3118835591003946</v>
      </c>
      <c r="N105" s="13"/>
      <c r="O105" s="147"/>
      <c r="P105" s="13"/>
      <c r="Q105" s="148">
        <f>MIN(Q11:Q94)</f>
        <v>8.1881559264237402E-2</v>
      </c>
      <c r="R105" s="13"/>
      <c r="S105" s="147"/>
      <c r="T105" s="13"/>
      <c r="U105" s="9">
        <f>MIN(U11:U94)</f>
        <v>1.2426888265350988</v>
      </c>
      <c r="V105" s="13"/>
      <c r="W105" s="147"/>
      <c r="X105" s="13"/>
      <c r="Y105" s="9">
        <f>MIN(Y11:Y94)</f>
        <v>0.13394855509885406</v>
      </c>
      <c r="Z105" s="13"/>
      <c r="AA105" s="147"/>
      <c r="AB105" s="13"/>
      <c r="AC105" s="9">
        <f>MIN(AC11:AC94)</f>
        <v>0.4174336007899635</v>
      </c>
      <c r="AD105" s="13"/>
      <c r="AE105" s="147"/>
      <c r="AF105" s="13"/>
      <c r="AG105" s="9">
        <f>MIN(AG11:AG94)</f>
        <v>1.568066238927692</v>
      </c>
      <c r="AH105" s="13"/>
      <c r="AI105" s="147"/>
      <c r="AJ105" s="13"/>
      <c r="AK105" s="9">
        <f>MIN(AK11:AK94)</f>
        <v>1.8636709187925746</v>
      </c>
      <c r="AL105" s="13"/>
      <c r="AM105" s="147"/>
      <c r="AN105" s="13"/>
      <c r="AO105" s="9">
        <f>MIN(AO11:AO94)</f>
        <v>1.0100939015403172</v>
      </c>
      <c r="AP105" s="13"/>
      <c r="AQ105" s="147"/>
      <c r="AR105" s="13"/>
      <c r="AS105" s="9">
        <f>MIN(AS11:AS94)</f>
        <v>0.79935957437886751</v>
      </c>
      <c r="AT105" s="13"/>
      <c r="AU105" s="147"/>
      <c r="AV105" s="13"/>
      <c r="AW105" s="32">
        <f>MIN(AW11:AW94)</f>
        <v>8.7275647175853663E-2</v>
      </c>
      <c r="AX105" s="13"/>
      <c r="AY105" s="147"/>
      <c r="AZ105" s="13"/>
      <c r="BA105" s="9">
        <f>MIN(BA11:BA94)</f>
        <v>1.5665777061180588</v>
      </c>
      <c r="BB105" s="13"/>
      <c r="BC105" s="147"/>
      <c r="BD105" s="13"/>
      <c r="BE105" s="9">
        <f>MIN(BE11:BE94)</f>
        <v>1.7489451370099591</v>
      </c>
      <c r="BF105" s="13"/>
      <c r="BG105" s="147"/>
      <c r="BH105" s="13"/>
      <c r="BI105" s="9">
        <f>MIN(BI11:BI94)</f>
        <v>0.63513285135806419</v>
      </c>
      <c r="BK105" s="13"/>
      <c r="BL105" s="13"/>
    </row>
    <row r="106" spans="1:64" x14ac:dyDescent="0.35">
      <c r="L106" s="10"/>
      <c r="P106" s="19"/>
      <c r="Q106" s="139"/>
      <c r="T106" s="19"/>
      <c r="U106" s="139"/>
      <c r="BK106" s="4"/>
      <c r="BL106" s="7"/>
    </row>
    <row r="107" spans="1:64" x14ac:dyDescent="0.35">
      <c r="H107" s="13"/>
      <c r="I107" s="9"/>
    </row>
    <row r="108" spans="1:64" x14ac:dyDescent="0.35">
      <c r="H108" s="9"/>
      <c r="I108" s="9"/>
    </row>
    <row r="109" spans="1:64" x14ac:dyDescent="0.35">
      <c r="H109" s="9"/>
      <c r="I109" s="9"/>
    </row>
  </sheetData>
  <autoFilter ref="A5:BL94" xr:uid="{28D58A86-AEA4-48D5-8B79-5050D86997C4}"/>
  <mergeCells count="15">
    <mergeCell ref="C101:E101"/>
    <mergeCell ref="V4:Y4"/>
    <mergeCell ref="Z4:AC4"/>
    <mergeCell ref="AD4:AG4"/>
    <mergeCell ref="BB4:BE4"/>
    <mergeCell ref="F4:I4"/>
    <mergeCell ref="N4:Q4"/>
    <mergeCell ref="R4:U4"/>
    <mergeCell ref="J4:M4"/>
    <mergeCell ref="BF4:BI4"/>
    <mergeCell ref="AH4:AK4"/>
    <mergeCell ref="AL4:AO4"/>
    <mergeCell ref="AP4:AS4"/>
    <mergeCell ref="AT4:AW4"/>
    <mergeCell ref="AX4:BA4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8C1EF-3B1A-4AD1-9156-C26914189723}">
  <sheetPr>
    <tabColor rgb="FF92D050"/>
  </sheetPr>
  <dimension ref="A1:C85"/>
  <sheetViews>
    <sheetView workbookViewId="0">
      <selection activeCell="S29" sqref="S29"/>
    </sheetView>
  </sheetViews>
  <sheetFormatPr defaultRowHeight="14.5" x14ac:dyDescent="0.35"/>
  <cols>
    <col min="1" max="1" width="13.54296875" customWidth="1"/>
    <col min="2" max="2" width="13.90625" style="149" customWidth="1"/>
    <col min="3" max="3" width="15.1796875" style="149" customWidth="1"/>
  </cols>
  <sheetData>
    <row r="1" spans="1:3" s="12" customFormat="1" x14ac:dyDescent="0.35">
      <c r="A1" s="12" t="s">
        <v>261</v>
      </c>
      <c r="B1" s="153"/>
      <c r="C1" s="153"/>
    </row>
    <row r="2" spans="1:3" x14ac:dyDescent="0.35">
      <c r="A2" s="12" t="s">
        <v>223</v>
      </c>
      <c r="B2" s="153" t="s">
        <v>259</v>
      </c>
      <c r="C2" s="153" t="s">
        <v>260</v>
      </c>
    </row>
    <row r="3" spans="1:3" x14ac:dyDescent="0.35">
      <c r="A3" t="s">
        <v>119</v>
      </c>
      <c r="B3" s="150">
        <v>45.688482453246998</v>
      </c>
      <c r="C3" s="150">
        <v>4.8266893883590098</v>
      </c>
    </row>
    <row r="4" spans="1:3" x14ac:dyDescent="0.35">
      <c r="A4" t="s">
        <v>120</v>
      </c>
      <c r="B4" s="150">
        <v>45.683250000000001</v>
      </c>
      <c r="C4" s="150">
        <v>4.7576390000000002</v>
      </c>
    </row>
    <row r="5" spans="1:3" x14ac:dyDescent="0.35">
      <c r="A5" t="s">
        <v>121</v>
      </c>
      <c r="B5" s="150">
        <v>45.676040999999998</v>
      </c>
      <c r="C5" s="150">
        <v>4.820017</v>
      </c>
    </row>
    <row r="6" spans="1:3" x14ac:dyDescent="0.35">
      <c r="A6" t="s">
        <v>123</v>
      </c>
      <c r="B6" s="150">
        <v>45.675832999999997</v>
      </c>
      <c r="C6" s="150">
        <v>4.759417</v>
      </c>
    </row>
    <row r="7" spans="1:3" x14ac:dyDescent="0.35">
      <c r="A7" t="s">
        <v>124</v>
      </c>
      <c r="B7" s="150">
        <v>45.4665872016039</v>
      </c>
      <c r="C7" s="150">
        <v>4.7778340846563898</v>
      </c>
    </row>
    <row r="8" spans="1:3" x14ac:dyDescent="0.35">
      <c r="A8" t="s">
        <v>125</v>
      </c>
      <c r="B8" s="150">
        <v>45.621194000000003</v>
      </c>
      <c r="C8" s="150">
        <v>4.7696670000000001</v>
      </c>
    </row>
    <row r="9" spans="1:3" x14ac:dyDescent="0.35">
      <c r="A9" t="s">
        <v>126</v>
      </c>
      <c r="B9" s="150">
        <v>45.646445</v>
      </c>
      <c r="C9" s="150">
        <v>4.7995590000000004</v>
      </c>
    </row>
    <row r="10" spans="1:3" x14ac:dyDescent="0.35">
      <c r="A10" t="s">
        <v>127</v>
      </c>
      <c r="B10" s="150">
        <v>45.680435000000003</v>
      </c>
      <c r="C10" s="150">
        <v>4.737171</v>
      </c>
    </row>
    <row r="11" spans="1:3" x14ac:dyDescent="0.35">
      <c r="A11" t="s">
        <v>128</v>
      </c>
      <c r="B11" s="150">
        <v>45.644439766925402</v>
      </c>
      <c r="C11" s="150">
        <v>4.7945675576718001</v>
      </c>
    </row>
    <row r="12" spans="1:3" x14ac:dyDescent="0.35">
      <c r="A12" t="s">
        <v>129</v>
      </c>
      <c r="B12" s="150">
        <v>45.640555999999997</v>
      </c>
      <c r="C12" s="150">
        <v>4.6900000000000004</v>
      </c>
    </row>
    <row r="13" spans="1:3" x14ac:dyDescent="0.35">
      <c r="A13" t="s">
        <v>130</v>
      </c>
      <c r="B13" s="150">
        <v>45.615667000000002</v>
      </c>
      <c r="C13" s="150">
        <v>4.7730829999999997</v>
      </c>
    </row>
    <row r="14" spans="1:3" x14ac:dyDescent="0.35">
      <c r="A14" t="s">
        <v>131</v>
      </c>
      <c r="B14" s="150">
        <v>45.458922999999999</v>
      </c>
      <c r="C14" s="150">
        <v>4.7702249999999999</v>
      </c>
    </row>
    <row r="15" spans="1:3" x14ac:dyDescent="0.35">
      <c r="A15" t="s">
        <v>132</v>
      </c>
      <c r="B15" s="150">
        <v>45.869110999999997</v>
      </c>
      <c r="C15" s="150">
        <v>5.4598890000000004</v>
      </c>
    </row>
    <row r="16" spans="1:3" x14ac:dyDescent="0.35">
      <c r="A16" t="s">
        <v>133</v>
      </c>
      <c r="B16" s="150">
        <v>45.610469000000002</v>
      </c>
      <c r="C16" s="150">
        <v>4.8331670000000004</v>
      </c>
    </row>
    <row r="17" spans="1:3" x14ac:dyDescent="0.35">
      <c r="A17" t="s">
        <v>134</v>
      </c>
      <c r="B17" s="150">
        <v>45.578817000000001</v>
      </c>
      <c r="C17" s="150">
        <v>4.8071970000000004</v>
      </c>
    </row>
    <row r="18" spans="1:3" x14ac:dyDescent="0.35">
      <c r="A18" t="s">
        <v>135</v>
      </c>
      <c r="B18" s="150">
        <v>45.610436399999998</v>
      </c>
      <c r="C18" s="150">
        <v>4.8332940000000004</v>
      </c>
    </row>
    <row r="19" spans="1:3" x14ac:dyDescent="0.35">
      <c r="A19" t="s">
        <v>136</v>
      </c>
      <c r="B19" s="150">
        <v>45.624527999999998</v>
      </c>
      <c r="C19" s="150">
        <v>4.8171109999999997</v>
      </c>
    </row>
    <row r="20" spans="1:3" x14ac:dyDescent="0.35">
      <c r="A20" t="s">
        <v>137</v>
      </c>
      <c r="B20" s="150">
        <v>45.580246000000002</v>
      </c>
      <c r="C20" s="150">
        <v>4.8098140000000003</v>
      </c>
    </row>
    <row r="21" spans="1:3" x14ac:dyDescent="0.35">
      <c r="A21" t="s">
        <v>138</v>
      </c>
      <c r="B21" s="150">
        <v>45.599139000000001</v>
      </c>
      <c r="C21" s="150">
        <v>4.8306110000000002</v>
      </c>
    </row>
    <row r="22" spans="1:3" x14ac:dyDescent="0.35">
      <c r="A22" t="s">
        <v>139</v>
      </c>
      <c r="B22" s="150">
        <v>45.602528999999997</v>
      </c>
      <c r="C22" s="150">
        <v>4.8187899999999999</v>
      </c>
    </row>
    <row r="23" spans="1:3" x14ac:dyDescent="0.35">
      <c r="A23" t="s">
        <v>140</v>
      </c>
      <c r="B23" s="150">
        <v>45.594904999999997</v>
      </c>
      <c r="C23" s="150">
        <v>4.8301299999999996</v>
      </c>
    </row>
    <row r="24" spans="1:3" x14ac:dyDescent="0.35">
      <c r="A24" t="s">
        <v>141</v>
      </c>
      <c r="B24" s="150">
        <v>45.58</v>
      </c>
      <c r="C24" s="150">
        <v>4.8123699999999996</v>
      </c>
    </row>
    <row r="25" spans="1:3" x14ac:dyDescent="0.35">
      <c r="A25" t="s">
        <v>142</v>
      </c>
      <c r="B25" s="150">
        <v>45.572814000000001</v>
      </c>
      <c r="C25" s="150">
        <v>4.8296489999999999</v>
      </c>
    </row>
    <row r="26" spans="1:3" x14ac:dyDescent="0.35">
      <c r="A26" t="s">
        <v>143</v>
      </c>
      <c r="B26" s="150">
        <v>45.574916999999999</v>
      </c>
      <c r="C26" s="150">
        <v>4.8836389999999996</v>
      </c>
    </row>
    <row r="27" spans="1:3" x14ac:dyDescent="0.35">
      <c r="A27" t="s">
        <v>144</v>
      </c>
      <c r="B27" s="150">
        <v>45.573321410142398</v>
      </c>
      <c r="C27" s="150">
        <v>4.8289716700857301</v>
      </c>
    </row>
    <row r="28" spans="1:3" x14ac:dyDescent="0.35">
      <c r="A28" t="s">
        <v>145</v>
      </c>
      <c r="B28" s="150">
        <v>45.580199999999998</v>
      </c>
      <c r="C28" s="150">
        <v>4.8125999999999998</v>
      </c>
    </row>
    <row r="29" spans="1:3" x14ac:dyDescent="0.35">
      <c r="A29" t="s">
        <v>146</v>
      </c>
      <c r="B29" s="150">
        <v>45.621583000000001</v>
      </c>
      <c r="C29" s="150">
        <v>4.8703609999999999</v>
      </c>
    </row>
    <row r="30" spans="1:3" x14ac:dyDescent="0.35">
      <c r="A30" t="s">
        <v>147</v>
      </c>
      <c r="B30" s="150">
        <v>45.611193999999998</v>
      </c>
      <c r="C30" s="150">
        <v>4.8337779999999997</v>
      </c>
    </row>
    <row r="31" spans="1:3" x14ac:dyDescent="0.35">
      <c r="A31" t="s">
        <v>148</v>
      </c>
      <c r="B31" s="150">
        <v>45.598489999999998</v>
      </c>
      <c r="C31" s="150">
        <v>4.8115399999999999</v>
      </c>
    </row>
    <row r="32" spans="1:3" x14ac:dyDescent="0.35">
      <c r="A32" t="s">
        <v>149</v>
      </c>
      <c r="B32" s="150">
        <v>45.624499999999998</v>
      </c>
      <c r="C32" s="150">
        <v>4.9083800000000002</v>
      </c>
    </row>
    <row r="33" spans="1:3" x14ac:dyDescent="0.35">
      <c r="A33" t="s">
        <v>150</v>
      </c>
      <c r="B33" s="150">
        <v>45.604710939999997</v>
      </c>
      <c r="C33" s="150">
        <v>4.8049923999999997</v>
      </c>
    </row>
    <row r="34" spans="1:3" x14ac:dyDescent="0.35">
      <c r="A34" t="s">
        <v>151</v>
      </c>
      <c r="B34" s="150">
        <v>45.595643879999997</v>
      </c>
      <c r="C34" s="150">
        <v>4.7949137899999998</v>
      </c>
    </row>
    <row r="35" spans="1:3" x14ac:dyDescent="0.35">
      <c r="A35" t="s">
        <v>152</v>
      </c>
      <c r="B35" s="150">
        <v>45.749858000000003</v>
      </c>
      <c r="C35" s="150">
        <v>4.7986015999999996</v>
      </c>
    </row>
    <row r="36" spans="1:3" x14ac:dyDescent="0.35">
      <c r="A36" t="s">
        <v>153</v>
      </c>
      <c r="B36" s="150">
        <v>45.729832999999999</v>
      </c>
      <c r="C36" s="150">
        <v>4.7835279999999996</v>
      </c>
    </row>
    <row r="37" spans="1:3" x14ac:dyDescent="0.35">
      <c r="A37" t="s">
        <v>154</v>
      </c>
      <c r="B37" s="150">
        <v>45.743949999999998</v>
      </c>
      <c r="C37" s="150">
        <v>4.7927400000000002</v>
      </c>
    </row>
    <row r="38" spans="1:3" x14ac:dyDescent="0.35">
      <c r="A38" t="s">
        <v>155</v>
      </c>
      <c r="B38" s="150">
        <v>45.743499999999997</v>
      </c>
      <c r="C38" s="150">
        <v>4.79861</v>
      </c>
    </row>
    <row r="39" spans="1:3" x14ac:dyDescent="0.35">
      <c r="A39" t="s">
        <v>156</v>
      </c>
      <c r="B39" s="150">
        <v>45.748263999999999</v>
      </c>
      <c r="C39" s="150">
        <v>4.7980219999999996</v>
      </c>
    </row>
    <row r="40" spans="1:3" x14ac:dyDescent="0.35">
      <c r="A40" t="s">
        <v>157</v>
      </c>
      <c r="B40" s="150">
        <v>45.744444000000001</v>
      </c>
      <c r="C40" s="150">
        <v>4.7527780000000002</v>
      </c>
    </row>
    <row r="41" spans="1:3" x14ac:dyDescent="0.35">
      <c r="A41" t="s">
        <v>158</v>
      </c>
      <c r="B41" s="150">
        <v>45.740983</v>
      </c>
      <c r="C41" s="150">
        <v>4.7879339999999999</v>
      </c>
    </row>
    <row r="42" spans="1:3" x14ac:dyDescent="0.35">
      <c r="A42" t="s">
        <v>159</v>
      </c>
      <c r="B42" s="150">
        <v>45.679048999999999</v>
      </c>
      <c r="C42" s="150">
        <v>4.6560360000000003</v>
      </c>
    </row>
    <row r="43" spans="1:3" x14ac:dyDescent="0.35">
      <c r="A43" t="s">
        <v>160</v>
      </c>
      <c r="B43" s="150">
        <v>45.741819999999997</v>
      </c>
      <c r="C43" s="150">
        <v>4.7717539999999996</v>
      </c>
    </row>
    <row r="44" spans="1:3" x14ac:dyDescent="0.35">
      <c r="A44" t="s">
        <v>161</v>
      </c>
      <c r="B44" s="150">
        <v>45.435946999999999</v>
      </c>
      <c r="C44" s="150">
        <v>4.4735209999999999</v>
      </c>
    </row>
    <row r="45" spans="1:3" x14ac:dyDescent="0.35">
      <c r="A45" t="s">
        <v>162</v>
      </c>
      <c r="B45" s="150">
        <v>45.707273999999998</v>
      </c>
      <c r="C45" s="150">
        <v>4.7501899999999999</v>
      </c>
    </row>
    <row r="46" spans="1:3" x14ac:dyDescent="0.35">
      <c r="A46" t="s">
        <v>163</v>
      </c>
      <c r="B46" s="150">
        <v>45.733972000000001</v>
      </c>
      <c r="C46" s="150">
        <v>4.7581670000000003</v>
      </c>
    </row>
    <row r="47" spans="1:3" x14ac:dyDescent="0.35">
      <c r="A47" t="s">
        <v>164</v>
      </c>
      <c r="B47" s="150">
        <v>45.596186000000003</v>
      </c>
      <c r="C47" s="150">
        <v>4.5640939999999999</v>
      </c>
    </row>
    <row r="48" spans="1:3" x14ac:dyDescent="0.35">
      <c r="A48" t="s">
        <v>165</v>
      </c>
      <c r="B48" s="150">
        <v>45.654775999999998</v>
      </c>
      <c r="C48" s="150">
        <v>4.6073459999999997</v>
      </c>
    </row>
    <row r="49" spans="1:3" x14ac:dyDescent="0.35">
      <c r="A49" t="s">
        <v>166</v>
      </c>
      <c r="B49" s="150">
        <v>45.691870000000002</v>
      </c>
      <c r="C49" s="150">
        <v>4.6757470000000003</v>
      </c>
    </row>
    <row r="50" spans="1:3" x14ac:dyDescent="0.35">
      <c r="A50" t="s">
        <v>167</v>
      </c>
      <c r="B50" s="150">
        <v>45.661571000000002</v>
      </c>
      <c r="C50" s="150">
        <v>4.7751020000000004</v>
      </c>
    </row>
    <row r="51" spans="1:3" x14ac:dyDescent="0.35">
      <c r="A51" t="s">
        <v>168</v>
      </c>
      <c r="B51" s="150">
        <v>45.733348999999997</v>
      </c>
      <c r="C51" s="150">
        <v>4.7826490000000002</v>
      </c>
    </row>
    <row r="52" spans="1:3" x14ac:dyDescent="0.35">
      <c r="A52" t="s">
        <v>169</v>
      </c>
      <c r="B52" s="150">
        <v>45.661571000000002</v>
      </c>
      <c r="C52" s="150">
        <v>4.7751020000000004</v>
      </c>
    </row>
    <row r="53" spans="1:3" x14ac:dyDescent="0.35">
      <c r="A53" t="s">
        <v>170</v>
      </c>
      <c r="B53" s="150">
        <v>45.727666999999997</v>
      </c>
      <c r="C53" s="150">
        <v>4.7840829999999999</v>
      </c>
    </row>
    <row r="54" spans="1:3" x14ac:dyDescent="0.35">
      <c r="A54" t="s">
        <v>171</v>
      </c>
      <c r="B54" s="150">
        <v>45.653056999999997</v>
      </c>
      <c r="C54" s="150">
        <v>4.9476380000000004</v>
      </c>
    </row>
    <row r="55" spans="1:3" x14ac:dyDescent="0.35">
      <c r="A55" t="s">
        <v>172</v>
      </c>
      <c r="B55" s="150">
        <v>45.689646000000003</v>
      </c>
      <c r="C55" s="150">
        <v>4.9217469999999999</v>
      </c>
    </row>
    <row r="56" spans="1:3" x14ac:dyDescent="0.35">
      <c r="A56" t="s">
        <v>173</v>
      </c>
      <c r="B56" s="150">
        <v>45.735554999999998</v>
      </c>
      <c r="C56" s="150">
        <v>4.9829800000000004</v>
      </c>
    </row>
    <row r="57" spans="1:3" x14ac:dyDescent="0.35">
      <c r="A57" t="s">
        <v>174</v>
      </c>
      <c r="B57" s="150">
        <v>45.780476999999998</v>
      </c>
      <c r="C57" s="150">
        <v>5.0007099999999998</v>
      </c>
    </row>
    <row r="58" spans="1:3" x14ac:dyDescent="0.35">
      <c r="A58" t="s">
        <v>175</v>
      </c>
      <c r="B58" s="150">
        <v>45.762377999999998</v>
      </c>
      <c r="C58" s="150">
        <v>4.9381259999999996</v>
      </c>
    </row>
    <row r="59" spans="1:3" x14ac:dyDescent="0.35">
      <c r="A59" t="s">
        <v>176</v>
      </c>
      <c r="B59" s="150">
        <v>45.739992999999998</v>
      </c>
      <c r="C59" s="150">
        <v>4.9529800000000002</v>
      </c>
    </row>
    <row r="60" spans="1:3" x14ac:dyDescent="0.35">
      <c r="A60" t="s">
        <v>177</v>
      </c>
      <c r="B60" s="150">
        <v>45.706446</v>
      </c>
      <c r="C60" s="150">
        <v>4.8124789999999997</v>
      </c>
    </row>
    <row r="61" spans="1:3" x14ac:dyDescent="0.35">
      <c r="A61" t="s">
        <v>178</v>
      </c>
      <c r="B61" s="150">
        <v>45.712808000000003</v>
      </c>
      <c r="C61" s="150">
        <v>4.8066529999999998</v>
      </c>
    </row>
    <row r="62" spans="1:3" x14ac:dyDescent="0.35">
      <c r="A62" t="s">
        <v>179</v>
      </c>
      <c r="B62" s="150">
        <v>45.708592000000003</v>
      </c>
      <c r="C62" s="150">
        <v>4.8209340000000003</v>
      </c>
    </row>
    <row r="63" spans="1:3" x14ac:dyDescent="0.35">
      <c r="A63" t="s">
        <v>180</v>
      </c>
      <c r="B63" s="150">
        <v>45.709085999999999</v>
      </c>
      <c r="C63" s="150">
        <v>4.8113029999999997</v>
      </c>
    </row>
    <row r="64" spans="1:3" x14ac:dyDescent="0.35">
      <c r="A64" t="s">
        <v>181</v>
      </c>
      <c r="B64" s="150">
        <v>45.718719999999998</v>
      </c>
      <c r="C64" s="150">
        <v>4.8921099999999997</v>
      </c>
    </row>
    <row r="65" spans="1:3" x14ac:dyDescent="0.35">
      <c r="A65" t="s">
        <v>182</v>
      </c>
      <c r="B65" s="150">
        <v>45.705503999999998</v>
      </c>
      <c r="C65" s="150">
        <v>4.8219919999999998</v>
      </c>
    </row>
    <row r="66" spans="1:3" x14ac:dyDescent="0.35">
      <c r="A66" t="s">
        <v>183</v>
      </c>
      <c r="B66" s="150">
        <v>45.730499999999999</v>
      </c>
      <c r="C66" s="150">
        <v>4.8340829999999997</v>
      </c>
    </row>
    <row r="67" spans="1:3" x14ac:dyDescent="0.35">
      <c r="A67" t="s">
        <v>184</v>
      </c>
      <c r="B67" s="150">
        <v>45.705880999999998</v>
      </c>
      <c r="C67" s="150">
        <v>4.8241680000000002</v>
      </c>
    </row>
    <row r="68" spans="1:3" x14ac:dyDescent="0.35">
      <c r="A68" t="s">
        <v>185</v>
      </c>
      <c r="B68" s="150">
        <v>45.704138999999998</v>
      </c>
      <c r="C68" s="150">
        <v>4.8114439999999998</v>
      </c>
    </row>
    <row r="69" spans="1:3" x14ac:dyDescent="0.35">
      <c r="A69" t="s">
        <v>186</v>
      </c>
      <c r="B69" s="150">
        <v>45.725762000000003</v>
      </c>
      <c r="C69" s="150">
        <v>4.8057489999999996</v>
      </c>
    </row>
    <row r="70" spans="1:3" x14ac:dyDescent="0.35">
      <c r="A70" t="s">
        <v>187</v>
      </c>
      <c r="B70" s="150">
        <v>45.700167</v>
      </c>
      <c r="C70" s="150">
        <v>4.8287779999999998</v>
      </c>
    </row>
    <row r="71" spans="1:3" x14ac:dyDescent="0.35">
      <c r="A71" t="s">
        <v>188</v>
      </c>
      <c r="B71" s="150">
        <v>45.702806000000002</v>
      </c>
      <c r="C71" s="150">
        <v>4.8126389999999999</v>
      </c>
    </row>
    <row r="72" spans="1:3" x14ac:dyDescent="0.35">
      <c r="A72" t="s">
        <v>189</v>
      </c>
      <c r="B72" s="150">
        <v>45.714421999999999</v>
      </c>
      <c r="C72" s="150">
        <v>4.8090169999999999</v>
      </c>
    </row>
    <row r="73" spans="1:3" x14ac:dyDescent="0.35">
      <c r="A73" t="s">
        <v>190</v>
      </c>
      <c r="B73" s="150">
        <v>45.704360999999999</v>
      </c>
      <c r="C73" s="150">
        <v>4.8192500000000003</v>
      </c>
    </row>
    <row r="74" spans="1:3" x14ac:dyDescent="0.35">
      <c r="A74" t="s">
        <v>191</v>
      </c>
      <c r="B74" s="150">
        <v>45.702530000000003</v>
      </c>
      <c r="C74" s="150">
        <v>4.8583299999999996</v>
      </c>
    </row>
    <row r="75" spans="1:3" x14ac:dyDescent="0.35">
      <c r="A75" t="s">
        <v>192</v>
      </c>
      <c r="B75" s="150">
        <v>45.721040000000002</v>
      </c>
      <c r="C75" s="150">
        <v>4.8058199999999998</v>
      </c>
    </row>
    <row r="76" spans="1:3" x14ac:dyDescent="0.35">
      <c r="A76" t="s">
        <v>193</v>
      </c>
      <c r="B76" s="150">
        <v>45.718752000000002</v>
      </c>
      <c r="C76" s="150">
        <v>4.8010659999999996</v>
      </c>
    </row>
    <row r="77" spans="1:3" x14ac:dyDescent="0.35">
      <c r="A77" t="s">
        <v>194</v>
      </c>
      <c r="B77" s="150">
        <v>45.720806000000003</v>
      </c>
      <c r="C77" s="150">
        <v>4.8231390000000003</v>
      </c>
    </row>
    <row r="78" spans="1:3" x14ac:dyDescent="0.35">
      <c r="A78" t="s">
        <v>195</v>
      </c>
      <c r="B78" s="150">
        <v>45.722785999999999</v>
      </c>
      <c r="C78" s="150">
        <v>4.8066630000000004</v>
      </c>
    </row>
    <row r="79" spans="1:3" x14ac:dyDescent="0.35">
      <c r="A79" t="s">
        <v>196</v>
      </c>
      <c r="B79" s="150">
        <v>45.720889999999997</v>
      </c>
      <c r="C79" s="150">
        <v>4.7997620000000003</v>
      </c>
    </row>
    <row r="80" spans="1:3" x14ac:dyDescent="0.35">
      <c r="A80" t="s">
        <v>197</v>
      </c>
      <c r="B80" s="150">
        <v>45.699530000000003</v>
      </c>
      <c r="C80" s="150">
        <v>4.8843800000000002</v>
      </c>
    </row>
    <row r="81" spans="1:3" x14ac:dyDescent="0.35">
      <c r="A81" t="s">
        <v>198</v>
      </c>
      <c r="B81" s="151">
        <v>45.817913174334002</v>
      </c>
      <c r="C81" s="151">
        <v>4.8204716019668314</v>
      </c>
    </row>
    <row r="82" spans="1:3" x14ac:dyDescent="0.35">
      <c r="A82" t="s">
        <v>199</v>
      </c>
      <c r="B82" s="150">
        <v>45.78655564163364</v>
      </c>
      <c r="C82" s="150">
        <v>4.7080987088245152</v>
      </c>
    </row>
    <row r="83" spans="1:3" x14ac:dyDescent="0.35">
      <c r="A83" t="s">
        <v>200</v>
      </c>
      <c r="B83" s="152">
        <v>45.842778000000003</v>
      </c>
      <c r="C83" s="152">
        <v>4.8002500000000001</v>
      </c>
    </row>
    <row r="84" spans="1:3" x14ac:dyDescent="0.35">
      <c r="A84" t="s">
        <v>201</v>
      </c>
      <c r="B84" s="152">
        <v>45.817107</v>
      </c>
      <c r="C84" s="152">
        <v>4.7830599999999999</v>
      </c>
    </row>
    <row r="85" spans="1:3" x14ac:dyDescent="0.35">
      <c r="A85" t="s">
        <v>202</v>
      </c>
      <c r="B85" s="151">
        <v>45.754339116010897</v>
      </c>
      <c r="C85" s="151">
        <v>4.7246392259991099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Liquid phase conc.</vt:lpstr>
      <vt:lpstr>Soil conc.</vt:lpstr>
      <vt:lpstr>Kd</vt:lpstr>
      <vt:lpstr>Spatial distribution samples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Libby Morales</dc:creator>
  <cp:lastModifiedBy>Libby Morales</cp:lastModifiedBy>
  <dcterms:created xsi:type="dcterms:W3CDTF">2025-10-21T18:17:07Z</dcterms:created>
  <dcterms:modified xsi:type="dcterms:W3CDTF">2026-06-13T15:52:15Z</dcterms:modified>
</cp:coreProperties>
</file>